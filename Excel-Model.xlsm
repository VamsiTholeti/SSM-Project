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codeName="ThisWorkbook"/>
  <mc:AlternateContent xmlns:mc="http://schemas.openxmlformats.org/markup-compatibility/2006">
    <mc:Choice Requires="x15">
      <x15ac:absPath xmlns:x15ac="http://schemas.microsoft.com/office/spreadsheetml/2010/11/ac" url="C:\Users\syedafnan\Desktop\"/>
    </mc:Choice>
  </mc:AlternateContent>
  <xr:revisionPtr revIDLastSave="0" documentId="13_ncr:1_{7D5FFBEB-58D2-402C-B563-F01DA9BDA0BE}" xr6:coauthVersionLast="47" xr6:coauthVersionMax="47" xr10:uidLastSave="{00000000-0000-0000-0000-000000000000}"/>
  <bookViews>
    <workbookView xWindow="-110" yWindow="-110" windowWidth="19420" windowHeight="10300" activeTab="1" xr2:uid="{02ECAE0F-0209-49AF-B065-DEC010FE598C}"/>
  </bookViews>
  <sheets>
    <sheet name="Dashboard" sheetId="5" r:id="rId1"/>
    <sheet name="Model 1" sheetId="10" r:id="rId2"/>
    <sheet name="Model 2" sheetId="6" r:id="rId3"/>
    <sheet name="Model 3" sheetId="8" r:id="rId4"/>
    <sheet name="References" sheetId="3" r:id="rId5"/>
    <sheet name="Data" sheetId="2" r:id="rId6"/>
  </sheets>
  <definedNames>
    <definedName name="_xlnm._FilterDatabase" localSheetId="5" hidden="1">Data!$A$1:$H$69</definedName>
    <definedName name="Boolean">IF(#REF!&lt;&gt;"", References!$C$2:$C$3, "")</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10" l="1" a="1"/>
  <c r="D2" i="10" s="1"/>
  <c r="B4" i="10" a="1"/>
  <c r="B4" i="10" s="1"/>
  <c r="A3" i="10"/>
  <c r="A3" i="8" a="1"/>
  <c r="A3" i="8" s="1"/>
  <c r="O4" i="5"/>
  <c r="L4" i="5"/>
  <c r="I4" i="5"/>
  <c r="F4" i="5"/>
  <c r="C4" i="5"/>
  <c r="B4" i="6" a="1"/>
  <c r="B4" i="6" s="1"/>
  <c r="D2" i="6"/>
  <c r="A4" i="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<sst xmlns="http://schemas.openxmlformats.org/spreadsheetml/2006/main" count="710" uniqueCount="286">
  <si>
    <t>What you want To Study</t>
  </si>
  <si>
    <t>M.Sc.</t>
  </si>
  <si>
    <t>Yes</t>
  </si>
  <si>
    <t>Subject</t>
  </si>
  <si>
    <t>Domain/ General/ Paper Code/ Optional Languages mapped to the Programmes</t>
  </si>
  <si>
    <t>Intake</t>
  </si>
  <si>
    <t>Entrancve Exam Required</t>
  </si>
  <si>
    <t>Duration of the Course</t>
  </si>
  <si>
    <t>Eligibility for the programme</t>
  </si>
  <si>
    <t>Whcih Exam Did You Attempt</t>
  </si>
  <si>
    <t>GATE</t>
  </si>
  <si>
    <t>Domain/ General/ Optional Languages mapped to the Programmes</t>
  </si>
  <si>
    <t>Entrance Exam</t>
  </si>
  <si>
    <t>List Your Interests</t>
  </si>
  <si>
    <t xml:space="preserve">Course </t>
  </si>
  <si>
    <t>Entrance Exams</t>
  </si>
  <si>
    <t>Boolean</t>
  </si>
  <si>
    <t>Language</t>
  </si>
  <si>
    <t>Paper</t>
  </si>
  <si>
    <t>Integrated M.Sc.</t>
  </si>
  <si>
    <t>CUET-UG</t>
  </si>
  <si>
    <t>English</t>
  </si>
  <si>
    <t>Paper 1</t>
  </si>
  <si>
    <t>Integrated M.A</t>
  </si>
  <si>
    <t>JEE MAINS</t>
  </si>
  <si>
    <t>No</t>
  </si>
  <si>
    <t>Hindi</t>
  </si>
  <si>
    <t>Paper 2</t>
  </si>
  <si>
    <t>Integrated M.Tech.</t>
  </si>
  <si>
    <t>CUET-PG</t>
  </si>
  <si>
    <t>Telugu</t>
  </si>
  <si>
    <t>COQP10</t>
  </si>
  <si>
    <t>M.A.</t>
  </si>
  <si>
    <t>Urdu</t>
  </si>
  <si>
    <r>
      <rPr>
        <sz val="36"/>
        <rFont val="Times New Roman"/>
        <family val="1"/>
      </rPr>
      <t>COQP10</t>
    </r>
  </si>
  <si>
    <t>NIMCET</t>
  </si>
  <si>
    <r>
      <rPr>
        <sz val="36"/>
        <rFont val="Times New Roman"/>
        <family val="1"/>
      </rPr>
      <t>COQP11</t>
    </r>
  </si>
  <si>
    <t>M.P.A.</t>
  </si>
  <si>
    <r>
      <rPr>
        <sz val="36"/>
        <rFont val="Times New Roman"/>
        <family val="1"/>
      </rPr>
      <t>COQP17</t>
    </r>
  </si>
  <si>
    <t>M.V.A.</t>
  </si>
  <si>
    <t>GAT-B</t>
  </si>
  <si>
    <t>M.C.A.</t>
  </si>
  <si>
    <t>CAT</t>
  </si>
  <si>
    <r>
      <rPr>
        <sz val="36"/>
        <rFont val="Times New Roman"/>
        <family val="1"/>
      </rPr>
      <t>HUQP09</t>
    </r>
  </si>
  <si>
    <t xml:space="preserve">M.B.A. </t>
  </si>
  <si>
    <r>
      <rPr>
        <sz val="36"/>
        <rFont val="Times New Roman"/>
        <family val="1"/>
      </rPr>
      <t>HUQP16</t>
    </r>
  </si>
  <si>
    <t>M.Tech.</t>
  </si>
  <si>
    <r>
      <rPr>
        <sz val="36"/>
        <rFont val="Times New Roman"/>
        <family val="1"/>
      </rPr>
      <t>HUQP18</t>
    </r>
  </si>
  <si>
    <r>
      <rPr>
        <sz val="36"/>
        <rFont val="Times New Roman"/>
        <family val="1"/>
      </rPr>
      <t>HUQP22</t>
    </r>
  </si>
  <si>
    <r>
      <rPr>
        <sz val="36"/>
        <rFont val="Times New Roman"/>
        <family val="1"/>
      </rPr>
      <t>LAQP01</t>
    </r>
  </si>
  <si>
    <r>
      <rPr>
        <sz val="36"/>
        <rFont val="Times New Roman"/>
        <family val="1"/>
      </rPr>
      <t>LAQP02</t>
    </r>
  </si>
  <si>
    <r>
      <rPr>
        <sz val="36"/>
        <rFont val="Times New Roman"/>
        <family val="1"/>
      </rPr>
      <t>LAQP03</t>
    </r>
  </si>
  <si>
    <r>
      <rPr>
        <sz val="36"/>
        <rFont val="Times New Roman"/>
        <family val="1"/>
      </rPr>
      <t>LAQP04</t>
    </r>
  </si>
  <si>
    <r>
      <rPr>
        <sz val="36"/>
        <rFont val="Times New Roman"/>
        <family val="1"/>
      </rPr>
      <t>LAQP36</t>
    </r>
  </si>
  <si>
    <r>
      <rPr>
        <sz val="36"/>
        <rFont val="Times New Roman"/>
        <family val="1"/>
      </rPr>
      <t>LAQP37</t>
    </r>
  </si>
  <si>
    <r>
      <rPr>
        <sz val="36"/>
        <rFont val="Times New Roman"/>
        <family val="1"/>
      </rPr>
      <t>COQP12</t>
    </r>
  </si>
  <si>
    <r>
      <rPr>
        <sz val="36"/>
        <rFont val="Times New Roman"/>
        <family val="1"/>
      </rPr>
      <t>HUQP20</t>
    </r>
  </si>
  <si>
    <r>
      <rPr>
        <sz val="36"/>
        <rFont val="Times New Roman"/>
        <family val="1"/>
      </rPr>
      <t>SCQP08</t>
    </r>
  </si>
  <si>
    <r>
      <rPr>
        <sz val="36"/>
        <rFont val="Times New Roman"/>
        <family val="1"/>
      </rPr>
      <t>SCQP17</t>
    </r>
  </si>
  <si>
    <r>
      <rPr>
        <sz val="36"/>
        <rFont val="Times New Roman"/>
        <family val="1"/>
      </rPr>
      <t>SCQP19</t>
    </r>
  </si>
  <si>
    <r>
      <rPr>
        <sz val="36"/>
        <rFont val="Times New Roman"/>
        <family val="1"/>
      </rPr>
      <t>SCQP24</t>
    </r>
  </si>
  <si>
    <r>
      <rPr>
        <sz val="36"/>
        <rFont val="Times New Roman"/>
        <family val="1"/>
      </rPr>
      <t>SCQP27</t>
    </r>
  </si>
  <si>
    <r>
      <rPr>
        <sz val="36"/>
        <rFont val="Times New Roman"/>
        <family val="1"/>
      </rPr>
      <t>SCQP29</t>
    </r>
  </si>
  <si>
    <r>
      <rPr>
        <sz val="36"/>
        <rFont val="Times New Roman"/>
        <family val="1"/>
      </rPr>
      <t>HUQP24</t>
    </r>
  </si>
  <si>
    <r>
      <rPr>
        <sz val="36"/>
        <rFont val="Times New Roman"/>
        <family val="1"/>
      </rPr>
      <t>HUQP05</t>
    </r>
  </si>
  <si>
    <t>HUQP14</t>
  </si>
  <si>
    <r>
      <rPr>
        <sz val="36"/>
        <rFont val="Times New Roman"/>
        <family val="1"/>
      </rPr>
      <t>HUQP12</t>
    </r>
  </si>
  <si>
    <r>
      <rPr>
        <sz val="36"/>
        <rFont val="Times New Roman"/>
        <family val="1"/>
      </rPr>
      <t>HUQP07</t>
    </r>
  </si>
  <si>
    <r>
      <rPr>
        <sz val="36"/>
        <rFont val="Times New Roman"/>
        <family val="1"/>
      </rPr>
      <t>HUQP10</t>
    </r>
  </si>
  <si>
    <t>COQP12</t>
  </si>
  <si>
    <t>COQP22</t>
  </si>
  <si>
    <t>NA</t>
  </si>
  <si>
    <t>Sl.
No.</t>
  </si>
  <si>
    <t>Program Title</t>
  </si>
  <si>
    <t xml:space="preserve">Is Mathematics Essential </t>
  </si>
  <si>
    <t>Eligibility</t>
  </si>
  <si>
    <t>Interests</t>
  </si>
  <si>
    <t>Mathematical Sciences</t>
  </si>
  <si>
    <r>
      <rPr>
        <b/>
        <sz val="12"/>
        <rFont val="Times New Roman"/>
        <family val="1"/>
      </rPr>
      <t xml:space="preserve">A.  </t>
    </r>
    <r>
      <rPr>
        <sz val="12"/>
        <rFont val="Times New Roman"/>
        <family val="1"/>
      </rPr>
      <t xml:space="preserve">Core Paper
From Section II, choose
1. Mathematics [319]
2. Physics [322]
3. Chemistry [306]
</t>
    </r>
    <r>
      <rPr>
        <b/>
        <sz val="12"/>
        <rFont val="Times New Roman"/>
        <family val="1"/>
      </rPr>
      <t xml:space="preserve">B.  </t>
    </r>
    <r>
      <rPr>
        <sz val="12"/>
        <rFont val="Times New Roman"/>
        <family val="1"/>
      </rPr>
      <t>Qualifying Papers Language:
From Section IA, choose English [101]</t>
    </r>
  </si>
  <si>
    <t>CUET- UG
Marks of
Maths+ Physics+ Chemistry</t>
  </si>
  <si>
    <t>5 Years</t>
  </si>
  <si>
    <t>With a minimum of 60% marks at +2 level of education with Science subjects only. NOTE: For admission to Mathematical Sciences and Physics stream, it is essential to have Mathematics as one of the subjects at +2 level. NOTE: Candidates seeking admission to I.M.Sc. Chemical Sciences should be able to conduct their experiments on their own. There will be no provision for allowing any assistance or scribe to do the experiments</t>
  </si>
  <si>
    <t xml:space="preserve">Algebra, Calculus, Differential Equations, Linear Algebra, Number Theory, Probability Theory, Statistics, Mathematical Modeling, Combinatorics, Graph Theory, Topology, Mathematical Analysis, Geometry, Applied Mathematics, Discrete Mathematics
</t>
  </si>
  <si>
    <t>Physics</t>
  </si>
  <si>
    <r>
      <rPr>
        <b/>
        <sz val="12"/>
        <rFont val="Times New Roman"/>
        <family val="1"/>
      </rPr>
      <t xml:space="preserve">A.  </t>
    </r>
    <r>
      <rPr>
        <sz val="12"/>
        <rFont val="Times New Roman"/>
        <family val="1"/>
      </rPr>
      <t xml:space="preserve">Core Paper
From Section II, choose
1. Physics [322]
2. Mathematics [319]
3. Chemistry [306]
</t>
    </r>
    <r>
      <rPr>
        <b/>
        <sz val="12"/>
        <rFont val="Times New Roman"/>
        <family val="1"/>
      </rPr>
      <t xml:space="preserve">B.  </t>
    </r>
    <r>
      <rPr>
        <sz val="12"/>
        <rFont val="Times New Roman"/>
        <family val="1"/>
      </rPr>
      <t>Qualifying Papers Language:
From Section IA, choose English [101]</t>
    </r>
  </si>
  <si>
    <t>CUET- UG
Marks of
Physics+ Maths+ Chemistry</t>
  </si>
  <si>
    <t>Classical Mechanics, Quantum Mechanics, Electromagnetism, Thermodynamics, Statistical Mechanics, Relativity (Special and General), Astrophysics, Particle Physics, Nuclear Physics, Condensed Matter Physics, Optics, Fluid Dynamics, Plasma Physics, Cosmology, Quantum Field Theory</t>
  </si>
  <si>
    <t>Chemical Sciences</t>
  </si>
  <si>
    <r>
      <rPr>
        <b/>
        <sz val="12"/>
        <rFont val="Times New Roman"/>
        <family val="1"/>
      </rPr>
      <t xml:space="preserve">A.  </t>
    </r>
    <r>
      <rPr>
        <sz val="12"/>
        <rFont val="Times New Roman"/>
        <family val="1"/>
      </rPr>
      <t xml:space="preserve">Core Paper
From Section II, choose
1. Chemistry [306]
</t>
    </r>
    <r>
      <rPr>
        <b/>
        <sz val="12"/>
        <rFont val="Times New Roman"/>
        <family val="1"/>
      </rPr>
      <t xml:space="preserve">B.  </t>
    </r>
    <r>
      <rPr>
        <sz val="12"/>
        <rFont val="Times New Roman"/>
        <family val="1"/>
      </rPr>
      <t>Qualifying Papers Language:
From Section IA, choose
1. English [101] And from Section II choose
2. Physics [322]</t>
    </r>
  </si>
  <si>
    <t>CUET- UG
Marks of
Chemistry (only)</t>
  </si>
  <si>
    <t xml:space="preserve">No </t>
  </si>
  <si>
    <t>Organic Chemistry, Inorganic Chemistry, Physical Chemistry, Analytical Chemistry, Biochemistry, Polymer Chemistry, Medicinal Chemistry, Environmental Chemistry, Theoretical Chemistry, Materials Chemistry, Catalysis, Surface Chemistry, Chemical Engineering, Computational Chemistry, Nanotechnology</t>
  </si>
  <si>
    <t>Biology*</t>
  </si>
  <si>
    <r>
      <rPr>
        <b/>
        <sz val="12"/>
        <rFont val="Times New Roman"/>
        <family val="1"/>
      </rPr>
      <t xml:space="preserve">A.  </t>
    </r>
    <r>
      <rPr>
        <sz val="12"/>
        <rFont val="Times New Roman"/>
        <family val="1"/>
      </rPr>
      <t xml:space="preserve">Core Paper
From Section II, choose
1. Biology [304]
2. Chemistry [306]
3. Physics [322]
4. Mathematics [319]
</t>
    </r>
    <r>
      <rPr>
        <b/>
        <sz val="12"/>
        <rFont val="Times New Roman"/>
        <family val="1"/>
      </rPr>
      <t xml:space="preserve">B.  </t>
    </r>
    <r>
      <rPr>
        <sz val="12"/>
        <rFont val="Times New Roman"/>
        <family val="1"/>
      </rPr>
      <t>Qualifying Papers Language:
From Section IA, choose English [101]</t>
    </r>
  </si>
  <si>
    <t>CUET- UG
Marks of Biology + Chemistry + Physics + Mathematics</t>
  </si>
  <si>
    <t>Genetics, Molecular Biology, Cell Biology, Microbiology, Ecology, Evolutionary Biology, Physiology, Biochemistry, Botany, Zoology, Immunology, Neuroscience, Biotechnology, Environmental Biology, Marine Biology</t>
  </si>
  <si>
    <t>Applied Geology</t>
  </si>
  <si>
    <r>
      <rPr>
        <b/>
        <sz val="12"/>
        <rFont val="Times New Roman"/>
        <family val="1"/>
      </rPr>
      <t xml:space="preserve">A.  </t>
    </r>
    <r>
      <rPr>
        <sz val="12"/>
        <rFont val="Times New Roman"/>
        <family val="1"/>
      </rPr>
      <t xml:space="preserve">Core Paper
From Section II, choose
1. Physics [322]
2. Chemistry [306]
</t>
    </r>
    <r>
      <rPr>
        <b/>
        <sz val="12"/>
        <rFont val="Times New Roman"/>
        <family val="1"/>
      </rPr>
      <t xml:space="preserve">B.  </t>
    </r>
    <r>
      <rPr>
        <sz val="12"/>
        <rFont val="Times New Roman"/>
        <family val="1"/>
      </rPr>
      <t>Qualifying Papers Language:
From Section IA, choose
1. English [101]And from Section II choose
2. Mathematics [319]
3. Biology [304]</t>
    </r>
  </si>
  <si>
    <t>CUET- UG
Marks of
Physics+ Chemistry</t>
  </si>
  <si>
    <t>Hydrogeology, Engineering Geology, Petroleum Geology, Environmental Geology, Geotechnical Engineering, Geochemistry, Geological Hazards Assessment, Mineral Exploration, Groundwater Management, Seismology, Remote Sensing in Geology, Geological Mapping, Sedimentology, Stratigraphy, Geothermal Energy Exploration</t>
  </si>
  <si>
    <r>
      <rPr>
        <b/>
        <sz val="12"/>
        <rFont val="Times New Roman"/>
        <family val="1"/>
      </rPr>
      <t xml:space="preserve">A.  </t>
    </r>
    <r>
      <rPr>
        <sz val="12"/>
        <rFont val="Times New Roman"/>
        <family val="1"/>
      </rPr>
      <t xml:space="preserve">Core Paper
From Section IA, choose Telugu [112]
</t>
    </r>
    <r>
      <rPr>
        <b/>
        <sz val="12"/>
        <rFont val="Times New Roman"/>
        <family val="1"/>
      </rPr>
      <t xml:space="preserve">B.  </t>
    </r>
    <r>
      <rPr>
        <sz val="12"/>
        <rFont val="Times New Roman"/>
        <family val="1"/>
      </rPr>
      <t>Qualifying Papers Language:
From Section IA, choose English [101]</t>
    </r>
  </si>
  <si>
    <t>CUET- UG
Marks Scored in the Telugu</t>
  </si>
  <si>
    <t>With a minimum of 60% marks at +2 level of education with Telugu/English/ Hindi/Urdu as one of the subjects.
(Note: The students who are applying for Telugu/English/Hindi/Urdu should have studied respective subjects at +2 level.)
In case a student has not studied Telugu / Hindi/Urdu as one of the subjects, he/she should have passed an oriental title examination equivalent to Intermediate (i.e. + 2 level) in Telugu / Hindi/Urdu by Government of India or</t>
  </si>
  <si>
    <t>Telugu Literature, Telugu Cinema, Telugu Music, Telugu Poetry, Telugu Culture, Telugu History, Telugu Language Learning, Telugu Folklore, Telugu Dance, Telugu Cuisine, Telugu Art, Telugu Tradition, Telugu Drama, Telugu Festivals, Telugu Society</t>
  </si>
  <si>
    <r>
      <rPr>
        <b/>
        <sz val="12"/>
        <rFont val="Times New Roman"/>
        <family val="1"/>
      </rPr>
      <t xml:space="preserve">A.  </t>
    </r>
    <r>
      <rPr>
        <sz val="12"/>
        <rFont val="Times New Roman"/>
        <family val="1"/>
      </rPr>
      <t xml:space="preserve">Core Paper
From Section IA, choose Hindi [102]
</t>
    </r>
    <r>
      <rPr>
        <b/>
        <sz val="12"/>
        <rFont val="Times New Roman"/>
        <family val="1"/>
      </rPr>
      <t xml:space="preserve">B.  </t>
    </r>
    <r>
      <rPr>
        <sz val="12"/>
        <rFont val="Times New Roman"/>
        <family val="1"/>
      </rPr>
      <t>Qualifying Papers Language:
From Section IA, choose English [101]</t>
    </r>
  </si>
  <si>
    <t>CUET- UG
Marks Scored in the Hindi</t>
  </si>
  <si>
    <t>With a minimum of 60% marks at +2 level of education with Telugu/English/ Hindi/Urdu as one of the subjects.
(Note: The students who are applying for Telugu/English/Hindi/Ur du should have studied respective subjects at +2 level.)
In case a student has not studied Telugu / Hindi/Urdu as one of the subjects, he/she should have passed an oriental title examination equivalent to Intermediate (i.e. + 2 level) in Telugu / Hindi/Urdu by Government of India or</t>
  </si>
  <si>
    <t>Hindi Literature, Hindi Cinema, Hindi Music, Hindi Poetry, Hindi Culture, Hindi History, Hindi Language Learning, Hindi Folklore, Hindi Dance, Hindi Cuisine, Hindi Art, Hindi Tradition, Hindi Drama, Hindi Festivals, Hindi Society</t>
  </si>
  <si>
    <t>Language Sciences</t>
  </si>
  <si>
    <r>
      <rPr>
        <b/>
        <sz val="12"/>
        <rFont val="Times New Roman"/>
        <family val="1"/>
      </rPr>
      <t xml:space="preserve">A. </t>
    </r>
    <r>
      <rPr>
        <sz val="12"/>
        <rFont val="Times New Roman"/>
        <family val="1"/>
      </rPr>
      <t>Core Paper
1.   From Section IA, choose English [101]
2.   From Section III, choose General Test [501]</t>
    </r>
  </si>
  <si>
    <t>CUET- UG
Marks Scored in the English + General Test</t>
  </si>
  <si>
    <t>Linguistics, Phonetics, Phonology, Morphology, Syntax, Semantics, Pragmatics, Sociolinguistics, Psycholinguistics, Neurolinguistics, Computational Linguistics, Language Acquisition, Language Processing, Discourse Analysis, Historical Linguistics</t>
  </si>
  <si>
    <r>
      <rPr>
        <b/>
        <sz val="12"/>
        <rFont val="Times New Roman"/>
        <family val="1"/>
      </rPr>
      <t xml:space="preserve">A.  </t>
    </r>
    <r>
      <rPr>
        <sz val="12"/>
        <rFont val="Times New Roman"/>
        <family val="1"/>
      </rPr>
      <t xml:space="preserve">Core Paper
From Section IA, choose Urdu [113]
</t>
    </r>
    <r>
      <rPr>
        <b/>
        <sz val="12"/>
        <rFont val="Times New Roman"/>
        <family val="1"/>
      </rPr>
      <t xml:space="preserve">B.  </t>
    </r>
    <r>
      <rPr>
        <sz val="12"/>
        <rFont val="Times New Roman"/>
        <family val="1"/>
      </rPr>
      <t>Qualifying Papers Language:
From Section IA, choose English [101]</t>
    </r>
  </si>
  <si>
    <t>CUET- UG
Marks Scored in the Urdu</t>
  </si>
  <si>
    <t>any State Government thereof along with + 2 level.
Note: Candidates who are applying for Telugu should have studied Telugu as first language in Class X</t>
  </si>
  <si>
    <t xml:space="preserve">Urdu Literature, Urdu Poetry, Urdu Prose, Urdu Language Learning, Urdu Calligraphy, Urdu Music, Urdu Drama, Urdu Cinema, Urdu Culture, Urdu History, Urdu Society, Urdu Art, Urdu Cuisine, Urdu Traditions, Urdu Festivals
</t>
  </si>
  <si>
    <t>Economics</t>
  </si>
  <si>
    <r>
      <rPr>
        <b/>
        <sz val="12"/>
        <rFont val="Times New Roman"/>
        <family val="1"/>
      </rPr>
      <t xml:space="preserve">A.  </t>
    </r>
    <r>
      <rPr>
        <sz val="12"/>
        <rFont val="Times New Roman"/>
        <family val="1"/>
      </rPr>
      <t xml:space="preserve">Core Paper
From Section III, choose General Test [501]
</t>
    </r>
    <r>
      <rPr>
        <b/>
        <sz val="12"/>
        <rFont val="Times New Roman"/>
        <family val="1"/>
      </rPr>
      <t xml:space="preserve">B.  </t>
    </r>
    <r>
      <rPr>
        <sz val="12"/>
        <rFont val="Times New Roman"/>
        <family val="1"/>
      </rPr>
      <t>Qualifying Papers Language:
From Section IA, choose English [101]</t>
    </r>
  </si>
  <si>
    <t>CUET- UG
Marks Scored in the General Test</t>
  </si>
  <si>
    <t>With a minimum of 60% marks at +2 level of education</t>
  </si>
  <si>
    <t>Macroeconomics, Microeconomics, International Economics, Development Economics, Behavioral Economics, Econometrics, Monetary Economics, Public Economics, Environmental Economics, Labor Economics, Industrial Organization, Financial Economics, Health Economics, Urban Economics, Agricultural Economics</t>
  </si>
  <si>
    <t>History</t>
  </si>
  <si>
    <r>
      <rPr>
        <b/>
        <sz val="12"/>
        <rFont val="Times New Roman"/>
        <family val="1"/>
      </rPr>
      <t xml:space="preserve">A.  </t>
    </r>
    <r>
      <rPr>
        <sz val="12"/>
        <rFont val="Times New Roman"/>
        <family val="1"/>
      </rPr>
      <t xml:space="preserve">Core Paper
From Section III, choose General Test [501]
</t>
    </r>
    <r>
      <rPr>
        <b/>
        <sz val="12"/>
        <rFont val="Times New Roman"/>
        <family val="1"/>
      </rPr>
      <t xml:space="preserve">B.  </t>
    </r>
    <r>
      <rPr>
        <sz val="12"/>
        <rFont val="Times New Roman"/>
        <family val="1"/>
      </rPr>
      <t>Qualifying Papers Language:
From Section I A, choose English [101]</t>
    </r>
  </si>
  <si>
    <t>Ancient History, Medieval History, Modern History, World History, European History, Asian History, African History, American History, Military History, Cultural History, Social History, Political History, Economic History, Art History, Archaeology</t>
  </si>
  <si>
    <t>Political Science</t>
  </si>
  <si>
    <t>Political Theory, Comparative Politics, International Relations, Public Policy, Political Philosophy, Political Economy, Governance Studies, Diplomacy, Electoral Studies, Security Studies, Human Rights Studies, Environmental Politics, Conflict Resolution, Policy Analysis, Political Sociology</t>
  </si>
  <si>
    <t>Sociology</t>
  </si>
  <si>
    <t>Social Theory, Gender Studies, Race and Ethnicity, Social Stratification, Sociology of Education, Sociology of Religion, Sociology of Health and Illness, Sociology of Work and Labor, Urban Sociology, Environmental Sociology, Family and Marriage Studies, Criminology, Media and Cultural Studies, Sociology of Deviance, Social Movements</t>
  </si>
  <si>
    <t>Anthropology</t>
  </si>
  <si>
    <t>Cultural Anthropology, Biological Anthropology, Archaeology, Linguistic Anthropology, Medical Anthropology, Visual Anthropology, Economic Anthropology, Urban Anthropology, Applied Anthropology, Environmental Anthropology, Psychological Anthropology, Development Anthropology, Ethnography, Indigenous Studies, Anthropology of Religion</t>
  </si>
  <si>
    <t>Computer Science</t>
  </si>
  <si>
    <t>As per JOSAA/CSAB guidelines. One of the criteria for admission is that the candidate should satisfy at least one of these two criteria: (i) The candidate is within the category-wise top 20 percentile of successful candidates in their respective Class XII (or equivalent) examination of the respective stream and Board. (ii) The candidate has secured minimum 75% (for GEN or OBC-NCL) or minimum 65 % (for SC, ST or PWD) of aggregate marks in Class XII (or equivalent) examination of the respective stream and Board</t>
  </si>
  <si>
    <t>Artificial Intelligence (AI), Machine Learning, Data Science, Computer Vision, Natural Language Processing (NLP), Robotics, Algorithms and Data Structures, Computer Graphics, Human-Computer Interaction (HCI), Cybersecurity, Software Engineering, Database Systems, Operating Systems, Cloud Computing, Internet of Things (IoT)</t>
  </si>
  <si>
    <t>Sorry We Don't Have Any Course Meeting Your Eligibility</t>
  </si>
  <si>
    <r>
      <rPr>
        <sz val="14"/>
        <rFont val="Times New Roman"/>
        <family val="1"/>
      </rPr>
      <t>ECONOMICS</t>
    </r>
  </si>
  <si>
    <t>2 Years</t>
  </si>
  <si>
    <r>
      <rPr>
        <sz val="14"/>
        <rFont val="Times New Roman"/>
        <family val="1"/>
      </rPr>
      <t>A Bachelor’s degree in Economics with at least 50% marks in aggregate and at least 50% marks in Economics; OR Bachelor’s degree with at least 60% marks in any of the allied subjects viz.
Commerce, Statistics, Mathematics, Engineering or any of the Social Sciences subjects.</t>
    </r>
  </si>
  <si>
    <r>
      <rPr>
        <sz val="14"/>
        <rFont val="Times New Roman"/>
        <family val="1"/>
      </rPr>
      <t>FINANCIAL ECONOMICS</t>
    </r>
  </si>
  <si>
    <r>
      <rPr>
        <sz val="14"/>
        <rFont val="Times New Roman"/>
        <family val="1"/>
      </rPr>
      <t>COQP10</t>
    </r>
  </si>
  <si>
    <r>
      <rPr>
        <sz val="14"/>
        <rFont val="Times New Roman"/>
        <family val="1"/>
      </rPr>
      <t>A Bachelor’s degree in Economics with at least 50% marks in aggregate and at least 50% marks in Economics; OR Bachelor’s degree with at least 60% marks in any of the allied subjects viz.
Commerce, Statistics, Mathematics, Engineering or any of the Social Sciences subjects like History, Political Science, Sociology, Anthropology. AND
Mathematics at + 2 Level</t>
    </r>
  </si>
  <si>
    <t>Asset Pricing, Corporate Finance, Financial Markets, Investment Analysis, Portfolio Management, Risk Management, Financial Derivatives, Behavioral Finance, Financial Econometrics, Financial Regulation, Banking and Financial Institutions, International Finance, Monetary Economics, Financial Modeling, Quantitative Finance</t>
  </si>
  <si>
    <r>
      <rPr>
        <sz val="14"/>
        <rFont val="Times New Roman"/>
        <family val="1"/>
      </rPr>
      <t>ANTHROPOLOGY</t>
    </r>
  </si>
  <si>
    <r>
      <rPr>
        <sz val="14"/>
        <rFont val="Times New Roman"/>
        <family val="1"/>
      </rPr>
      <t>COQP11</t>
    </r>
  </si>
  <si>
    <r>
      <rPr>
        <sz val="14"/>
        <rFont val="Times New Roman"/>
        <family val="1"/>
      </rPr>
      <t>At least 50% marks in the
Bachelor’s degree.</t>
    </r>
  </si>
  <si>
    <r>
      <rPr>
        <sz val="14"/>
        <rFont val="Times New Roman"/>
        <family val="1"/>
      </rPr>
      <t>COMMUNICATION (MEDIA STUDIES)</t>
    </r>
  </si>
  <si>
    <r>
      <rPr>
        <sz val="14"/>
        <rFont val="Times New Roman"/>
        <family val="1"/>
      </rPr>
      <t>COQP17</t>
    </r>
  </si>
  <si>
    <r>
      <rPr>
        <sz val="14"/>
        <rFont val="Times New Roman"/>
        <family val="1"/>
      </rPr>
      <t>Graduate in any degree with a minimum of 55% marks</t>
    </r>
  </si>
  <si>
    <t>Media Theory, Mass Communication, Media Effects, Media Ethics, Journalism Studies, Digital Media, Social Media, Visual Communication, Media History, Media Literacy, Cultural Studies, Audience Research, Advertising and Public Relations, Film Studies, Television Studies</t>
  </si>
  <si>
    <r>
      <rPr>
        <sz val="14"/>
        <rFont val="Times New Roman"/>
        <family val="1"/>
      </rPr>
      <t>COMMUNICATION (MEDIA PRATICE)</t>
    </r>
  </si>
  <si>
    <t>Content Creation, Media Production, Digital Storytelling, Journalism, Broadcasting, Editing, Photography, Videography, Graphic Design, Multimedia Production, Social Media Management, Copywriting, Scriptwriting, Audio Production, Visual Effects</t>
  </si>
  <si>
    <r>
      <rPr>
        <sz val="14"/>
        <rFont val="Times New Roman"/>
        <family val="1"/>
      </rPr>
      <t>HISTORY</t>
    </r>
  </si>
  <si>
    <r>
      <rPr>
        <sz val="14"/>
        <rFont val="Times New Roman"/>
        <family val="1"/>
      </rPr>
      <t>HUQP09</t>
    </r>
  </si>
  <si>
    <r>
      <rPr>
        <sz val="14"/>
        <rFont val="Times New Roman"/>
        <family val="1"/>
      </rPr>
      <t>With at least 50% marks in the Bachelor's degree and at least 50% marks in History; OR with at least 50% marks in the Bachelor's degree and at least 55% marks in aggregate in the allied subjects viz. Political Science, Public Administration, Economics, Sociology, Anthropology, Indology, Archaeology, Ancient Indian History and Culture; OR Bachelor's degree in any subject(s) with at least 60% marks
in aggregate</t>
    </r>
  </si>
  <si>
    <r>
      <rPr>
        <sz val="14"/>
        <rFont val="Times New Roman"/>
        <family val="1"/>
      </rPr>
      <t>PHILOSOPHY</t>
    </r>
  </si>
  <si>
    <r>
      <rPr>
        <sz val="14"/>
        <rFont val="Times New Roman"/>
        <family val="1"/>
      </rPr>
      <t>HUQP16</t>
    </r>
  </si>
  <si>
    <r>
      <rPr>
        <sz val="14"/>
        <rFont val="Times New Roman"/>
        <family val="1"/>
      </rPr>
      <t>Bachelor's degree in any subject(s) with at least 50% marks in aggregate.</t>
    </r>
  </si>
  <si>
    <t>Metaphysics, Epistemology, Ethics, Logic, Philosophy of Mind, Philosophy of Language, Philosophy of Science, Political Philosophy, Aesthetics, Philosophy of Religion, Existentialism, Phenomenology, Analytic Philosophy, Continental Philosophy, Philosophy of Law</t>
  </si>
  <si>
    <r>
      <rPr>
        <sz val="14"/>
        <rFont val="Times New Roman"/>
        <family val="1"/>
      </rPr>
      <t>POLITICAL SCIENCE</t>
    </r>
  </si>
  <si>
    <r>
      <rPr>
        <sz val="14"/>
        <rFont val="Times New Roman"/>
        <family val="1"/>
      </rPr>
      <t>HUQP18</t>
    </r>
  </si>
  <si>
    <r>
      <rPr>
        <sz val="14"/>
        <rFont val="Times New Roman"/>
        <family val="1"/>
      </rPr>
      <t>Bachelor’s degree with at least 50% marks or Equivalent Grade in Social Sciences or Humanities subjects OR 55% marks in any other subject</t>
    </r>
  </si>
  <si>
    <r>
      <rPr>
        <sz val="14"/>
        <rFont val="Times New Roman"/>
        <family val="1"/>
      </rPr>
      <t>SOCIOLOGY</t>
    </r>
  </si>
  <si>
    <r>
      <rPr>
        <sz val="14"/>
        <rFont val="Times New Roman"/>
        <family val="1"/>
      </rPr>
      <t>HUQP22</t>
    </r>
  </si>
  <si>
    <r>
      <rPr>
        <sz val="14"/>
        <rFont val="Times New Roman"/>
        <family val="1"/>
      </rPr>
      <t>With at least 50% marks in the Bachelor’s degree and at least 50% marks in the subject concerned OR with at least 50% marks in aggregate in the allied subjects viz., all Social science subjects, Philosophy, Communication, Linguistics; OR Bachelor’s degree in any subject
(s) with 60% marks in aggregate.</t>
    </r>
  </si>
  <si>
    <r>
      <rPr>
        <sz val="14"/>
        <rFont val="Times New Roman"/>
        <family val="1"/>
      </rPr>
      <t>ENGLISH</t>
    </r>
  </si>
  <si>
    <r>
      <rPr>
        <sz val="14"/>
        <rFont val="Times New Roman"/>
        <family val="1"/>
      </rPr>
      <t>LAQP01</t>
    </r>
  </si>
  <si>
    <r>
      <rPr>
        <sz val="14"/>
        <rFont val="Times New Roman"/>
        <family val="1"/>
      </rPr>
      <t>At least 50% marks in the Bachelor's degree with at least 50% marks in English as optional subject; OR at least 50% marks in the Bachelor's degree with at least 55% marks in English as a compulsory subject.</t>
    </r>
  </si>
  <si>
    <t>Literature, Linguistics, Creative Writing, Grammar, Composition, Poetry, Drama, Fiction, Non-fiction, Literary Theory, Literary Criticism, English Language Teaching, Stylistics, Rhetoric, Cultural Studies</t>
  </si>
  <si>
    <r>
      <rPr>
        <sz val="14"/>
        <rFont val="Times New Roman"/>
        <family val="1"/>
      </rPr>
      <t>COMPARATIVE LITERATURE</t>
    </r>
  </si>
  <si>
    <r>
      <rPr>
        <sz val="14"/>
        <rFont val="Times New Roman"/>
        <family val="1"/>
      </rPr>
      <t>At least 50% marks or an
equivalent grade in any Bachelor’s degree with 50% marks or an equivalent grade in English as compulsory or optional subject.</t>
    </r>
  </si>
  <si>
    <t>Comparative Literary Analysis, Literary Theory and Criticism, Multicultural Literature, World Literature, Translation Studies, Interdisciplinary Approaches to Literature, Postcolonial Literature, Global Literary Movements, Comparative Cultural Studies, Comparative Poetics, Comparative Narrative Studies, Literary Translation, Comparative Genre Studies, Comparative Literary History, Comparative Literature Pedagogy</t>
  </si>
  <si>
    <r>
      <rPr>
        <sz val="14"/>
        <rFont val="Times New Roman"/>
        <family val="1"/>
      </rPr>
      <t>ENGLISH LANGUAGE STUDIES</t>
    </r>
  </si>
  <si>
    <r>
      <rPr>
        <sz val="14"/>
        <rFont val="Times New Roman"/>
        <family val="1"/>
      </rPr>
      <t>Graduates from any discipline with at least 50% marks (with English as a subject in High School, Intermediate and at least one year in the Graduate program, with at least 55% marks in English).</t>
    </r>
  </si>
  <si>
    <t>Linguistics, Phonetics and Phonology, Morphology, Syntax, Semantics, Pragmatics, Sociolinguistics, Psycholinguistics, Language Acquisition, English as a Second Language (ESL), Discourse Analysis, Corpus Linguistics, Historical Linguistics, Dialectology, Language Variation</t>
  </si>
  <si>
    <r>
      <rPr>
        <sz val="14"/>
        <rFont val="Times New Roman"/>
        <family val="1"/>
      </rPr>
      <t>HINDI</t>
    </r>
  </si>
  <si>
    <r>
      <rPr>
        <sz val="14"/>
        <rFont val="Times New Roman"/>
        <family val="1"/>
      </rPr>
      <t>LAQP02</t>
    </r>
  </si>
  <si>
    <r>
      <rPr>
        <sz val="14"/>
        <rFont val="Times New Roman"/>
        <family val="1"/>
      </rPr>
      <t>A Bachelor’s degree with 50% marks in any subject with Hindi as one of the optional subjects/compulsory subjects/or second language. Or, A Bachelor’s degree with 50% marks in any subject with an oriental title examination of B.A. standard approved by the Government of India or any State Government,
like ‘Praveen’ and ‘Sahitya Ratna’ or any other title recognized thereof.</t>
    </r>
  </si>
  <si>
    <r>
      <rPr>
        <sz val="14"/>
        <rFont val="Times New Roman"/>
        <family val="1"/>
      </rPr>
      <t>SANSKRIT STUDIES</t>
    </r>
  </si>
  <si>
    <r>
      <rPr>
        <sz val="14"/>
        <rFont val="Times New Roman"/>
        <family val="1"/>
      </rPr>
      <t>LAQP03</t>
    </r>
  </si>
  <si>
    <r>
      <rPr>
        <sz val="14"/>
        <rFont val="Times New Roman"/>
        <family val="1"/>
      </rPr>
      <t>B.A. in Sanskrit/Shastri/ Vidwanmadhyama/ Acharya OR Graduate from any discipline with Sanskrit as a subject at High School/Higher Secondary/College levels OR Graduate from any discipline with a certificate or PG Diploma in Sanskrit Note: Admission is confirmed only upon submitting an SOP before attending a personal interview</t>
    </r>
  </si>
  <si>
    <t>Sanskrit Grammar, Sanskrit Literature, Sanskrit Linguistics, Sanskrit Phonetics, Sanskrit Poetry, Sanskrit Prose, Sanskrit Epics (e.g., Mahabharata, Ramayana), Sanskrit Philosophy (e.g., Vedanta, Nyaya, Sankhya), Sanskrit Manuscripts Studies, Sanskrit Historical Linguistics, Sanskrit Etymology, Sanskrit Textual Criticism, Sanskrit Grammarian Tradition, Sanskrit Dramaturgy (Natya Shastra), Sanskrit Language Teaching</t>
  </si>
  <si>
    <r>
      <rPr>
        <sz val="14"/>
        <rFont val="Times New Roman"/>
        <family val="1"/>
      </rPr>
      <t>APPLIED LINGUISTICS</t>
    </r>
  </si>
  <si>
    <r>
      <rPr>
        <sz val="14"/>
        <rFont val="Times New Roman"/>
        <family val="1"/>
      </rPr>
      <t>LAQP04</t>
    </r>
  </si>
  <si>
    <r>
      <rPr>
        <sz val="14"/>
        <rFont val="Times New Roman"/>
        <family val="1"/>
      </rPr>
      <t>At least 50% marks or an
equivalent grade in any Bachelor’s degree (10 + 2 + 3 pattern) in aggregate with 50% marks in English as a compulsory or optional subject.</t>
    </r>
  </si>
  <si>
    <t>Second Language Acquisition, Language Teaching Methodologies, Language Assessment and Testing, Language Curriculum Development, Bilingualism and Multilingualism, Language for Specific Purposes (LSP), Language Policy and Planning, Language and Technology (Computer-Assisted Language Learning - CALL), Sociolinguistics in Language Teaching, Pragmatics in Language Use, Discourse Analysis in Applied Contexts, Language and Identity, Translation and Interpretation Studies, Corpus Linguistics in Applied Settings, Psycholinguistics in Language Learning</t>
  </si>
  <si>
    <r>
      <rPr>
        <sz val="14"/>
        <rFont val="Times New Roman"/>
        <family val="1"/>
      </rPr>
      <t>TELUGU</t>
    </r>
  </si>
  <si>
    <r>
      <rPr>
        <sz val="14"/>
        <rFont val="Times New Roman"/>
        <family val="1"/>
      </rPr>
      <t>LAQP36</t>
    </r>
  </si>
  <si>
    <r>
      <rPr>
        <sz val="14"/>
        <rFont val="Times New Roman"/>
        <family val="1"/>
      </rPr>
      <t>With at least 50% marks in the bachelor's degree and 50% marks in Telugu either as an optional subject or compulsory subject.</t>
    </r>
  </si>
  <si>
    <r>
      <rPr>
        <sz val="14"/>
        <rFont val="Times New Roman"/>
        <family val="1"/>
      </rPr>
      <t>URDU</t>
    </r>
  </si>
  <si>
    <r>
      <rPr>
        <sz val="14"/>
        <rFont val="Times New Roman"/>
        <family val="1"/>
      </rPr>
      <t>LAQP37</t>
    </r>
  </si>
  <si>
    <r>
      <rPr>
        <sz val="14"/>
        <rFont val="Times New Roman"/>
        <family val="1"/>
      </rPr>
      <t>With at least 50% marks in the Bachelor degree or equivalent with at least 50% marks in Urdu,
Persian or Arabic as optional
papers; OR Bachelor’s degree or equivalent with at least 55% marks in Urdu, Persian or Arabic as a Compulsory subject i.e. as a second language</t>
    </r>
  </si>
  <si>
    <t>Urdu Literature, Urdu Poetry, Urdu Prose, Urdu Language Learning, Urdu Calligraphy, Urdu Music, Urdu Drama, Urdu Cinema, Urdu Culture, Urdu History, Urdu Society, Urdu Art, Urdu Cuisine, Urdu Traditions, Urdu Festivals</t>
  </si>
  <si>
    <r>
      <rPr>
        <sz val="14"/>
        <rFont val="Times New Roman"/>
        <family val="1"/>
      </rPr>
      <t>NEURAL &amp; COGNITIVE SCIENCES</t>
    </r>
  </si>
  <si>
    <r>
      <rPr>
        <sz val="14"/>
        <rFont val="Times New Roman"/>
        <family val="1"/>
      </rPr>
      <t>COQP12</t>
    </r>
  </si>
  <si>
    <r>
      <rPr>
        <sz val="14"/>
        <rFont val="Times New Roman"/>
        <family val="1"/>
      </rPr>
      <t>Minimum prerequisite is
Bachelor’s degree with a minimum of 55% marks in any branch of Natural Sciences, Mathematics, Engineering and Computer Science; Social sciences, Humanities, MBBS</t>
    </r>
  </si>
  <si>
    <t>Neurobiology, Cognitive Psychology, Neuroscience, Cognitive Neuroscience, Neuropsychology, Computational Neuroscience, Cognitive Development, Brain Imaging Techniques (e.g., fMRI, EEG), Cognitive Modeling, Neuroplasticity, Memory Studies, Attention and Perception, Language Processing, Decision Making, Emotion and Cognition</t>
  </si>
  <si>
    <r>
      <rPr>
        <sz val="14"/>
        <rFont val="Times New Roman"/>
        <family val="1"/>
      </rPr>
      <t>HEALTH PSYCHOLOGY</t>
    </r>
  </si>
  <si>
    <r>
      <rPr>
        <sz val="14"/>
        <rFont val="Times New Roman"/>
        <family val="1"/>
      </rPr>
      <t>HUQP20</t>
    </r>
  </si>
  <si>
    <r>
      <rPr>
        <sz val="14"/>
        <rFont val="Times New Roman"/>
        <family val="1"/>
      </rPr>
      <t>With a minimum of 60% marks at the Graduate level with Psychology as one of the subjects for 3 years</t>
    </r>
  </si>
  <si>
    <t>Health Behavior Change, Chronic Illness Management, Stress and Coping, Health Promotion, Pain Management, Psychosomatic Medicine, Adherence to Medical Regimens, Health-Related Quality of Life, Behavioral Medicine, Patient-Provider Communication, Health Psychology Interventions, Health Risk Assessment, Resilience and Well-being, Health Disparities, Psychoneuroimmunology</t>
  </si>
  <si>
    <r>
      <rPr>
        <sz val="14"/>
        <rFont val="Times New Roman"/>
        <family val="1"/>
      </rPr>
      <t>CHEMISTRY</t>
    </r>
  </si>
  <si>
    <r>
      <rPr>
        <sz val="14"/>
        <rFont val="Times New Roman"/>
        <family val="1"/>
      </rPr>
      <t>SCQP08</t>
    </r>
  </si>
  <si>
    <r>
      <rPr>
        <sz val="14"/>
        <rFont val="Times New Roman"/>
        <family val="1"/>
      </rPr>
      <t>B.Sc. with a minimum of 60% marks in the aggregate of Science subjects with Chemistry as one of the subjects, preferably in combination with Physics and Mathematics. NOTE: Candidates admitted to M.Sc. Chemistry should be able to conduct their experiments on their own. There will be no provision for allowing any assistance or scribe to do the
experiments.</t>
    </r>
  </si>
  <si>
    <t xml:space="preserve">Organic Chemistry, Inorganic Chemistry, Physical Chemistry, Analytical Chemistry, Biochemistry, Polymer Chemistry, Environmental Chemistry, Medicinal Chemistry, Computational Chemistry, Theoretical Chemistry, Materials Chemistry, Industrial Chemistry, Nanotechnology, Green Chemistry, Food Chemistry
</t>
  </si>
  <si>
    <t>PLANT BIOLOGY &amp; BIOTECHNOLOGY</t>
  </si>
  <si>
    <r>
      <rPr>
        <sz val="14"/>
        <rFont val="Times New Roman"/>
        <family val="1"/>
      </rPr>
      <t>SCQP17</t>
    </r>
  </si>
  <si>
    <r>
      <rPr>
        <sz val="14"/>
        <rFont val="Times New Roman"/>
        <family val="1"/>
      </rPr>
      <t>B.Sc. with a minimum of 60% marks in aggregate of science subjects with Botany/Biochemistry/Chemistry, Microbiology, and Genetics subjects are eligible to apply for admission to M.Sc. Plant Biology and Biotechnology. Admissions to the program will be via the CUET (The Common University Entrance Test). The Department also admits international students following University guidelines.</t>
    </r>
  </si>
  <si>
    <t>Plant Physiology, Plant Anatomy, Plant Morphology, Plant Genetics, Plant Breeding, Plant Developmental Biology, Plant Molecular Biology, Plant Biotechnology, Plant Pathology, Plant Ecology, Plant Biochemistry, Plant Metabolism, Crop Science, Horticulture, Genetic Engineering in Plants</t>
  </si>
  <si>
    <r>
      <rPr>
        <sz val="14"/>
        <rFont val="Times New Roman"/>
        <family val="1"/>
      </rPr>
      <t>MOLECULAR MICROBIOLOGY</t>
    </r>
  </si>
  <si>
    <r>
      <rPr>
        <sz val="14"/>
        <rFont val="Times New Roman"/>
        <family val="1"/>
      </rPr>
      <t>B.Sc. with a minimum of 60% marks in aggregate of science subjects with Microbiology/Botany/ Biochemistry/ Chemistry, and Genetics subjects are eligible to apply for admission to M.Sc.
Molecular Microbiology. Admissions to the program will be via the CUET (The Common University Entrance Test). The Department also admits international students following
University guidelines.</t>
    </r>
  </si>
  <si>
    <t>ANIMAL BIOLOGY &amp; BIOTECHNOLOGY</t>
  </si>
  <si>
    <r>
      <rPr>
        <sz val="14"/>
        <rFont val="Times New Roman"/>
        <family val="1"/>
      </rPr>
      <t>Any graduate in Natural and allied Sciences/B.Tech (Biotechnology) with minimum 60% cumulative marks in science subjects are eligible to apply for the admission to M.Sc Animal Biology and Biotechnology. Admissions to the program will be through the CUET (Common University Entrance
Test)</t>
    </r>
  </si>
  <si>
    <t>BIOTECHNOLOGY</t>
  </si>
  <si>
    <t>Bachelor/s degree under 10+2+3 pattern of education in Physical, Biological, Agricultural, Veterinary and Fishery Sciences, Pharmacy, 4 years Engineering/Technology, B.Sc. (Physician Assistant Course) or Medicine (MBBS) or BDS with at least 55% marks.</t>
  </si>
  <si>
    <r>
      <rPr>
        <sz val="14"/>
        <rFont val="Times New Roman"/>
        <family val="1"/>
      </rPr>
      <t>BIOCHEMISTRY</t>
    </r>
  </si>
  <si>
    <r>
      <rPr>
        <sz val="14"/>
        <rFont val="Times New Roman"/>
        <family val="1"/>
      </rPr>
      <t>B. Sc. with a minimum of 60% marks in the aggregate of Science subjects with Chemistry or Biochemistry as one of the subjects</t>
    </r>
  </si>
  <si>
    <r>
      <rPr>
        <sz val="14"/>
        <rFont val="Times New Roman"/>
        <family val="1"/>
      </rPr>
      <t>MATHEMATICS/APPLIED MATHEMATICS</t>
    </r>
  </si>
  <si>
    <r>
      <rPr>
        <sz val="14"/>
        <rFont val="Times New Roman"/>
        <family val="1"/>
      </rPr>
      <t>SCQP19</t>
    </r>
  </si>
  <si>
    <r>
      <rPr>
        <sz val="14"/>
        <rFont val="Times New Roman"/>
        <family val="1"/>
      </rPr>
      <t>Bachelor’s degree with a minimum of 60% marks in the aggregate of optional subjects with Mathematics/ Statistics as one of the subjects; OR with at least 55% of marks for those students who have done B.A.
/B.Sc. (Hons) course in Maths / Statistics.</t>
    </r>
  </si>
  <si>
    <r>
      <rPr>
        <sz val="14"/>
        <rFont val="Times New Roman"/>
        <family val="1"/>
      </rPr>
      <t>PHYSICS</t>
    </r>
  </si>
  <si>
    <r>
      <rPr>
        <sz val="14"/>
        <rFont val="Times New Roman"/>
        <family val="1"/>
      </rPr>
      <t>SCQP24</t>
    </r>
  </si>
  <si>
    <r>
      <rPr>
        <sz val="14"/>
        <rFont val="Times New Roman"/>
        <family val="1"/>
      </rPr>
      <t>B.Sc. with a minimum of 60% marks in the aggregate of subjects with Physics as one of the main subjects in combination with Mathematics OR with at least 55% marks in BE / BTech degree with a minimum of 60% in the aggregate of science subjects: Physics, Mathematics, and Electronics</t>
    </r>
  </si>
  <si>
    <r>
      <rPr>
        <sz val="14"/>
        <rFont val="Times New Roman"/>
        <family val="1"/>
      </rPr>
      <t>STATISTICS</t>
    </r>
  </si>
  <si>
    <r>
      <rPr>
        <sz val="14"/>
        <rFont val="Times New Roman"/>
        <family val="1"/>
      </rPr>
      <t>SCQP27</t>
    </r>
  </si>
  <si>
    <r>
      <rPr>
        <sz val="14"/>
        <rFont val="Times New Roman"/>
        <family val="1"/>
      </rPr>
      <t>OCEAN AND ATMOSPHERIC SCIENCES</t>
    </r>
  </si>
  <si>
    <r>
      <rPr>
        <sz val="14"/>
        <rFont val="Times New Roman"/>
        <family val="1"/>
      </rPr>
      <t>SCQP29</t>
    </r>
  </si>
  <si>
    <r>
      <rPr>
        <sz val="14"/>
        <rFont val="Times New Roman"/>
        <family val="1"/>
      </rPr>
      <t>With at least 55% marks in the
Batchelor’s degree in any branch of Science with Mathematics and Physics as compulsory subjects at the B.Sc. level or B.Tech in Civil/Mechanical/Electrical. * Sponsored</t>
    </r>
  </si>
  <si>
    <r>
      <rPr>
        <sz val="14"/>
        <rFont val="Times New Roman"/>
        <family val="1"/>
      </rPr>
      <t>THEATRE ARTS</t>
    </r>
  </si>
  <si>
    <r>
      <rPr>
        <sz val="14"/>
        <rFont val="Times New Roman"/>
        <family val="1"/>
      </rPr>
      <t>HUQP24</t>
    </r>
  </si>
  <si>
    <t>Any graduate with an aptitude for Theatre. Experience in Theatre or any Performing Art will be an added advantage.</t>
  </si>
  <si>
    <r>
      <rPr>
        <sz val="14"/>
        <rFont val="Times New Roman"/>
        <family val="1"/>
      </rPr>
      <t>DANCE ( KUCHIPUDI)</t>
    </r>
  </si>
  <si>
    <r>
      <rPr>
        <sz val="14"/>
        <rFont val="Times New Roman"/>
        <family val="1"/>
      </rPr>
      <t>HUQP05</t>
    </r>
  </si>
  <si>
    <t>Bachelor’s degree in dance with Kuchipudi (or) Bachelor’s degree in any subject with a professional diploma or certificate in dance (Kuchipudi) recognized by the
University (or) Bachelor’s degree in any subject with a certificate from a reputed Guru recognized by the University to the effect that the candidate has undergone training in Kuchipudi dance under him/her for a period not less than five years. (The experience/training certificate should be furnished along with the application)</t>
  </si>
  <si>
    <t>Theatre, Performing Art, Acting</t>
  </si>
  <si>
    <r>
      <rPr>
        <sz val="14"/>
        <rFont val="Times New Roman"/>
        <family val="1"/>
      </rPr>
      <t>DANCE ( BHARTANATYAM)</t>
    </r>
  </si>
  <si>
    <t>Bachelor’s degree in dance with Bharatanatyam (or) Bachelor’s degree in any subject with a professional diploma or certificate in dance (Bharatanatyam) recognized by the University (or) Bachelor’s degree in any subject with a certificate from a reputed Guru recognized by the University to the effect that the candidate has undergone training in Bharatanatyam under him/her for a period not less than five years. (The experience/training certificate should be furnished along with the application) OR A candidate with 10+ 4 years fulltime diploma in Bharatanatyam from Kalakshetra Foundation, Chennai with one- year practical work experience in an institution; OR A candidate with 10 + 2 + 4 years full-time diploma in Bharatanatyam from
Kalakshetra Foundation, Chennai</t>
  </si>
  <si>
    <t>Bharatanatyam, Dance, Theatre</t>
  </si>
  <si>
    <r>
      <rPr>
        <sz val="14"/>
        <rFont val="Times New Roman"/>
        <family val="1"/>
      </rPr>
      <t>MUSIC (Hindustani Vocal)</t>
    </r>
  </si>
  <si>
    <t>Bachelor’s degree in Music in the concerned specialization (Vocal/Instrumental) with a minimum of 55% in the aggregate or equivalent CGPA; OR Bachelor’s degree in any subject with a Professional Diploma in Music in the concerned specialization (Vocal/Instrumental), with a minimum of 55% in the aggregate or equivalent CGPA, recognized by the University; OR Bachelor’s degree in any subject with a minimum of 55% in the aggregate or equivalent CGPA with a Certificate from a reputed Guru recognized by the University to the effect that the candidate has undergone rigorous training in music in the concerned specialization under him/her for a period not less than five years. (The experience/training certificate should be furnished during the practical test) * No ceiling on age NOTE: THE ENTRANCE EXAMINATION CONSISTS OF PART I AND PART II
Part I will be based on the written Exam for which the weightage of marks will be 50% Part II will be</t>
  </si>
  <si>
    <t>Music</t>
  </si>
  <si>
    <r>
      <rPr>
        <sz val="14"/>
        <rFont val="Times New Roman"/>
        <family val="1"/>
      </rPr>
      <t>MUSIC (Karnataka Vocal)</t>
    </r>
  </si>
  <si>
    <r>
      <rPr>
        <sz val="14"/>
        <rFont val="Times New Roman"/>
        <family val="1"/>
      </rPr>
      <t>HUQP12</t>
    </r>
  </si>
  <si>
    <r>
      <rPr>
        <sz val="14"/>
        <rFont val="Carlito"/>
        <family val="2"/>
      </rPr>
      <t xml:space="preserve">Bachelor’s degree in Music in the concerned specialization (Vocal/Instrumental) with a minimum of 55% in the aggregate or equivalent CGPA; OR Bachelor’s degree in any subject with a Professional Diploma in Music in the concerned specialization (Vocal/Instrumental), with a minimum of 55% in the aggregate or equivalent CGPA, recognized by the University; OR Bachelor’s degree in any subject with a minimum of 55% in the aggregate or equivalent CGPA with a Certificate from a reputed Guru recognized by the University to the effect that the candidate has undergone rigorous training in music in the concerned specialization under him/her for a period not less than five years. (The experience/training certificate should be furnished during the practical test) * No ceiling on age NOTE: THE ENTRANCE EXAMINATION CONSISTS OF PART I AND PART II
</t>
    </r>
    <r>
      <rPr>
        <sz val="14"/>
        <rFont val="Carlito"/>
        <family val="2"/>
      </rPr>
      <t>Part I will be based on the written Exam for which the weightage of marks will be 50% Part II will be</t>
    </r>
  </si>
  <si>
    <r>
      <rPr>
        <sz val="14"/>
        <rFont val="Times New Roman"/>
        <family val="1"/>
      </rPr>
      <t>PAINTING</t>
    </r>
  </si>
  <si>
    <r>
      <rPr>
        <sz val="14"/>
        <rFont val="Times New Roman"/>
        <family val="1"/>
      </rPr>
      <t>HUQP07</t>
    </r>
  </si>
  <si>
    <r>
      <rPr>
        <sz val="14"/>
        <rFont val="Carlito"/>
        <family val="2"/>
      </rPr>
      <t xml:space="preserve">Bachelor's Degree in Fine Arts BFA/BVA or BA (Fine Arts).
</t>
    </r>
    <r>
      <rPr>
        <u/>
        <sz val="14"/>
        <rFont val="Carlito"/>
        <family val="2"/>
      </rPr>
      <t>Essential requirements at the time</t>
    </r>
    <r>
      <rPr>
        <sz val="14"/>
        <rFont val="Carlito"/>
        <family val="2"/>
      </rPr>
      <t xml:space="preserve"> </t>
    </r>
    <r>
      <rPr>
        <u/>
        <sz val="14"/>
        <rFont val="Carlito"/>
        <family val="2"/>
      </rPr>
      <t>of application</t>
    </r>
    <r>
      <rPr>
        <sz val="14"/>
        <rFont val="Carlito"/>
        <family val="2"/>
      </rPr>
      <t>: i)Applicant must specify the stream (Painting/Print Making/Sculpture) on priority basis on which they wish to apply to the Department of Fine Arts.
Painting/Print Making/Sculpture
1………….. 2………….. 3………….. NOTE: In addition to the online application form submitted to the University of Hyderabad, each applicant must also send a soft copy of the online application along with 15 properly labeled digital images of recent works to snfa.entranceimages@uohyd.ac.in</t>
    </r>
  </si>
  <si>
    <t>Painting</t>
  </si>
  <si>
    <r>
      <rPr>
        <sz val="14"/>
        <rFont val="Times New Roman"/>
        <family val="1"/>
      </rPr>
      <t>PRINTMAKING</t>
    </r>
  </si>
  <si>
    <r>
      <rPr>
        <sz val="14"/>
        <rFont val="Carlito"/>
        <family val="2"/>
      </rPr>
      <t xml:space="preserve">Bachelor's Degree in Fine Arts BFA/BVA or BA (Fine Arts).
</t>
    </r>
    <r>
      <rPr>
        <sz val="14"/>
        <rFont val="Carlito"/>
        <family val="2"/>
      </rPr>
      <t xml:space="preserve">Essential requirements at the time of application: i)Applicant must specify the stream (Painting/Print Making/Sculpture) on priority basis on which they wish to apply to the Department of Fine Arts.
</t>
    </r>
    <r>
      <rPr>
        <sz val="14"/>
        <rFont val="Carlito"/>
        <family val="2"/>
      </rPr>
      <t xml:space="preserve">Painting/Print Making/Sculpture
</t>
    </r>
    <r>
      <rPr>
        <sz val="14"/>
        <rFont val="Carlito"/>
        <family val="2"/>
      </rPr>
      <t>1………….. 2………….. 3………….. NOTE: In addition to the online application form submitted to the University of Hyderabad, each applicant must also send a soft copy of the online application along with 15 properly labeled digital images of recent works to snfa.entranceimages@uohyd.ac.in</t>
    </r>
  </si>
  <si>
    <t>Painting, Sculpture, Print Making</t>
  </si>
  <si>
    <r>
      <rPr>
        <sz val="14"/>
        <rFont val="Times New Roman"/>
        <family val="1"/>
      </rPr>
      <t>SCULPTURE</t>
    </r>
  </si>
  <si>
    <r>
      <rPr>
        <sz val="14"/>
        <rFont val="Times New Roman"/>
        <family val="1"/>
      </rPr>
      <t>ART HISTORY &amp; VISUAL STUDIES</t>
    </r>
  </si>
  <si>
    <r>
      <rPr>
        <sz val="14"/>
        <rFont val="Times New Roman"/>
        <family val="1"/>
      </rPr>
      <t>HUQP10</t>
    </r>
  </si>
  <si>
    <t>Bachelor Degree in Fine Arts: BFA, BVA or BA (Fine Arts). Candidates from related disciplines like Social Sciences, Sciences, Arts and Humanities may also be considered provided they demonstrate evidence of aptitude in Art History, capacity to read visual images and demonstrate adequate knowledge of contemporary artistic practices.
Students must provide evidence of training or practice in visual arts at the time of the oral interview by bringing sketchbooks, art works or
photographs of their original art works</t>
  </si>
  <si>
    <t>Social Sciences, Sciences, Arts, Humanities, Fine Arts</t>
  </si>
  <si>
    <t>You Are Not Eligible For Any Course in M.V.A. Please Check out For Other Courses</t>
  </si>
  <si>
    <t>Master of Computer Applications</t>
  </si>
  <si>
    <t>MBA BUSINESS ANALYTICS</t>
  </si>
  <si>
    <r>
      <rPr>
        <sz val="14"/>
        <rFont val="Carlito"/>
        <family val="2"/>
      </rPr>
      <t xml:space="preserve">Bachelor’s degree or it's equivalent with a minimum of 60% marks or equivalent grade
</t>
    </r>
    <r>
      <rPr>
        <sz val="14"/>
        <rFont val="Carlito"/>
        <family val="2"/>
      </rPr>
      <t xml:space="preserve">of any recognized University.
</t>
    </r>
    <r>
      <rPr>
        <sz val="14"/>
        <rFont val="Carlito"/>
        <family val="2"/>
      </rPr>
      <t xml:space="preserve">Preference
</t>
    </r>
    <r>
      <rPr>
        <sz val="14"/>
        <rFont val="Carlito"/>
        <family val="2"/>
      </rPr>
      <t xml:space="preserve">will be given to those who have an academic
</t>
    </r>
    <r>
      <rPr>
        <sz val="14"/>
        <rFont val="Carlito"/>
        <family val="2"/>
      </rPr>
      <t>background/experience in Engineering/ Mathematics / Statistics</t>
    </r>
  </si>
  <si>
    <t>MBA HEALTH CARE &amp; HOSPITAL MANGEMENT</t>
  </si>
  <si>
    <r>
      <rPr>
        <sz val="14"/>
        <rFont val="Times New Roman"/>
        <family val="1"/>
      </rPr>
      <t>COQP22</t>
    </r>
  </si>
  <si>
    <t>A Bachelor’s Degree from a recognized University with a minimum of 60% marks in Ayurvedic, Homeo, Unani, Dental, Physio
Therapy, Nursing, Pharmacy, Pharm. D, Medical Lab Technology, Biomedical, Biotechnology and any Life Science Subjects. Candidates with MBBS background with 55% marks are eligible to
apply. Work experience in the Medical/Health Care sector is highly desirable.</t>
  </si>
  <si>
    <t>MBA General</t>
  </si>
  <si>
    <t>First class with minimum of 60% marks in Bachelor’s degree in Engineering/Technology (B.E/B.Tech)/ MCA/M.Sc. in (Computer Science/ Information Science/ Electronics) and valid GATE score in Computer Science &amp; Information Technology</t>
  </si>
  <si>
    <t>Artificial Intelligence</t>
  </si>
  <si>
    <t>Information Technology</t>
  </si>
  <si>
    <t>Information Security</t>
  </si>
  <si>
    <t>Bioinformatics</t>
  </si>
  <si>
    <t>The qualifying degree for this program includes B.Tech./B.E./M.Sc. in Bioinformatics, Biochemistry, Biotechnology, Applied Microbiology, Biology, Biomedical Genetics, Bio-Sciences, Life Science, Life Sciences (Botany), Life Sciences (Zoology), Microbiology, Agricultural Science, Biochemical Engineering, Biomedical Engineering, Biotech Engineering, Bioengineering, Biological Sciences and Bioengineering, Biomedical Instrumentation and Biosciences. GATE qualification with the subjects, Biotechnology-BT, Chemistry-CY, Chemical Engineering-CH, Biomedical engineering - BM, Life sciences – XL, and Ecology and Evolution- EY will only be considered for admission</t>
  </si>
  <si>
    <t>IC Technology</t>
  </si>
  <si>
    <t>Regular mode: (18 seats) Valid GATE Score in Electronics &amp; Communication Engineering/ Instrumentation Engineering / Physics. with Either (a) at least 60% aggregate marks in the Master’s degree in Electronics Science /Electronics/Applied Electronics/ Electronics and Communication/ Engineering Physics &amp; Instrumentation/ Physics(with Electronics as one of the Subjects) / Radio physics/Radio Physics &amp; Electronics. OR (b) at least 60% aggregate marks in the B.E./ B.Tech., in Electronics, Instrumentation and Control Engg/ Electronics and Communication Engg/ Electronics and Control systems/ Electronics and Information Systems/ Electronics and Instrumentation/ Electronics Engineering/ Electronics Science and Engineering/ Electronics Technology/ Instrumentation/Instrumentation &amp; Electronics Engg./ Instrumentation &amp; Control Systems/ Instrumentation Technology Note: Valid GATE scores in the order of merit, in one of the following subjects, will be the criterion for admission. (1)Electronics and Communication Engineering (2) Instrumentation Engineering (3) Physics. No other written test or interview will be conducted. GATE Fellowship is extended to all candidates admitted to M.Tech (I.C technology) in regular mode. The counseling for M.Tech IC Technology regular mode is through Centralized Counseling for M.Tech Admissions (CCMT). Therefore the eligibility is as per CCMT guidelines.</t>
  </si>
  <si>
    <t>Materials Engineering</t>
  </si>
  <si>
    <t>Bachelor’s degree in Engineering/Technology (B.E/B. Tech) in Aerospace Engineering, Ceramic Engineering/ Technology, Chemical Engineering, Industrial and Production Engineering, Manufacturing Engineering, Materials Engineering, Mechanical Engineering, Metallurgical Engineering, Master’s degree in Chemistry, Materials Science, Nano-science &amp; Technology, Physics with a valid GATE score in any of the following: Aerospace Engineering, Chemical Engineering, Industrial and Production Engineering, Mechanical Engineering, Metallurgical Engineering, Chemistry, Physics, Engineering Sciences .</t>
  </si>
  <si>
    <t>Nanoscience and Technology</t>
  </si>
  <si>
    <t>Bachelor’s degree in Engineering/Technology (B.E/B. Tech) in Ceramic Engineering/ Technology, Chemical Engineering, Industrial and Production Engineering, Manufacturing Engineering, Materials Engineering, Mechanical Engineering, Metallurgical Engineering, Electronics Engineering, Nanoscience and Technology, Master’s degree in Chemistry, Materials Science, Nano_x0002_science &amp; Technology, Physics with a valid GATE score in any of the following: Chemical Engineering, Industrial and Production Engineering, Mechanical Engineering, Metallurgical Engineering, Chemistry, Physics, Engineering Sciences, Electronics Engineering. The admission is through Centralized Counselling for M. Tech, i.e., CCMT.</t>
  </si>
  <si>
    <t>Manufacturin g Science and Engineering</t>
  </si>
  <si>
    <t>Bachelor’s degree in Engineering/Technology (B.E/B.Tech) in Mechanical Engineering, Industrial Engineering, Production Engineering, Manufacturing Engineering, Materials Engineering, Metallurgy, Aerospace Engineering, with a valid GATE score in any of the following: Industrial and Production Engineering, Mechanical Engineering, Metallurgical Engineering. The admission is through Centralized Counselling for M. Tech., i.e., CCMT.</t>
  </si>
  <si>
    <t>Microelectron ics &amp; VLSI Design</t>
  </si>
  <si>
    <t>Valid GATE Score in Electronics &amp; Communication Engineering/ Instrumentation Engineering / Physics. with Either (a) at least 60% aggregate marks in the Master’s degree in Electronics Science /Electronics/Applied Electronics/ Electronics and Communication/ Engineering Physics &amp; Instrumentation/ Physics(with Electronics as one of the Subjects) / Radio physics/Radio Physics &amp; Electronics. OR (b) at least 60% aggregate marks in the B.E./ B.Tech., in Electronics, Instrumentation and Control Engg/ Electronics and Communication Engg/ Electronics and Control systems/ Electronics and Information Systems/ Electronics and Instrumentation/ Electronics Engineering/ Electronics Science and Engineering/ Electronics Technology/ Instrumentation/Instrumentation &amp; Electronics Engg./ Instrumentation &amp; Control Systems/ Instrumentation Technology Note: Valid GATE scores in the order of merit, in one of the following subjects, will be the criterion for admission. (1)Electronics and Communication Engineering (2) Instrumentation Engineering (3) Physics. No other written test or interview will be conducted. GATE Fellowship is extended to all candidates admitted to M.Tech (Microelectronics &amp; VLSI Design) program. The counseling for M.Tech (Microelectronics &amp; VLSI Design) is through Centralized Counseling for M.Tech Admissions (CCMT). Therefore the eligibility is as per CCMT guidelines.</t>
  </si>
  <si>
    <t>Modeling and Simulation</t>
  </si>
  <si>
    <t>In qualifying degree (as referred in eligibility), the candidates should have passed and secured at least 6.5 CGPA (on a 10- point scale) or 60% for GEN/GEN-EWS/OBC, whereas 6.0 CGPA (on a 10-point scale) or 55% in case of SC/ST/PwD candidates. The above mentioned CGPA/Percentage should be awarded by a recognized University/Institute. Only primary mode of evaluation (CGPA or percentage) as mentioned in the qualifying degree certificate/mark sheet shall be considered while verifying eligibility.</t>
  </si>
  <si>
    <t xml:space="preserve"> </t>
  </si>
  <si>
    <t>No.of I.M.Sc. Courses</t>
  </si>
  <si>
    <t>No.of I.M.A. Courses</t>
  </si>
  <si>
    <t>No.of M.Sc. Courses</t>
  </si>
  <si>
    <t>No.of M.A. Courses</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</si>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</sst>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Aptos Narrow"/>
      <family val="2"/>
      <scheme val="minor"/>
    </font>
    <font>
      <sz val="12"/>
      <name val="Times New Roman"/>
      <family val="1"/>
    </font>
    <font>
      <b/>
      <sz val="12"/>
      <name val="Times New Roman"/>
      <family val="1"/>
    </font>
    <font>
      <sz val="10"/>
      <color rgb="FF000000"/>
      <name val="Times New Roman"/>
      <family val="1"/>
    </font>
    <font>
      <sz val="8"/>
      <name val="Aptos Narrow"/>
      <family val="2"/>
      <scheme val="minor"/>
    </font>
    <font>
      <sz val="14"/>
      <name val="Times New Roman"/>
      <family val="1"/>
    </font>
    <font>
      <sz val="14"/>
      <name val="Carlito"/>
      <family val="2"/>
    </font>
    <font>
      <u/>
      <sz val="14"/>
      <name val="Carlito"/>
      <family val="2"/>
    </font>
    <font>
      <sz val="36"/>
      <color theme="1"/>
      <name val="Times New Roman"/>
      <family val="1"/>
    </font>
    <font>
      <sz val="36"/>
      <name val="Times New Roman"/>
      <family val="1"/>
    </font>
    <font>
      <b/>
      <sz val="11"/>
      <color theme="1"/>
      <name val="Aptos Narrow"/>
      <family val="2"/>
      <scheme val="minor"/>
    </font>
    <font>
      <sz val="36"/>
      <color theme="1"/>
      <name val="Aptos Narrow"/>
      <family val="2"/>
      <scheme val="minor"/>
    </font>
    <font>
      <sz val="14"/>
      <color rgb="FF000000"/>
      <name val="Times New Roman"/>
      <family val="1"/>
    </font>
    <font>
      <sz val="11"/>
      <color theme="1"/>
      <name val="Aptos Narrow"/>
      <family val="2"/>
      <scheme val="minor"/>
    </font>
    <font>
      <sz val="11"/>
      <color theme="0"/>
      <name val="Aptos Narrow"/>
      <family val="2"/>
      <scheme val="minor"/>
    </font>
    <font>
      <sz val="12"/>
      <name val="Times New Roman"/>
      <charset val="134"/>
    </font>
    <font>
      <sz val="14"/>
      <color theme="6" tint="-0.249977111117893"/>
      <name val="Times New Roman"/>
      <family val="1"/>
    </font>
  </fonts>
  <fills count="17">
    <fill>
      <patternFill patternType="none"/>
    </fill>
    <fill>
      <patternFill patternType="gray125"/>
    </fill>
    <fill>
      <patternFill patternType="solid">
        <fgColor rgb="FFD9D9D9"/>
      </patternFill>
    </fill>
    <fill>
      <patternFill patternType="solid">
        <fgColor rgb="FFFFFFCC"/>
      </patternFill>
    </fill>
    <fill>
      <patternFill patternType="solid">
        <fgColor theme="4" tint="0.59999389629810485"/>
        <bgColor indexed="65"/>
      </patternFill>
    </fill>
    <fill>
      <patternFill patternType="solid">
        <fgColor theme="5" tint="0.79998168889431442"/>
        <bgColor indexed="65"/>
      </patternFill>
    </fill>
    <fill>
      <patternFill patternType="solid">
        <fgColor theme="8"/>
      </patternFill>
    </fill>
    <fill>
      <patternFill patternType="solid">
        <fgColor theme="8" tint="0.79998168889431442"/>
        <bgColor indexed="65"/>
      </patternFill>
    </fill>
    <fill>
      <patternFill patternType="solid">
        <fgColor theme="9" tint="0.59999389629810485"/>
        <bgColor indexed="65"/>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3" tint="0.89999084444715716"/>
        <bgColor indexed="64"/>
      </patternFill>
    </fill>
    <fill>
      <patternFill patternType="solid">
        <fgColor theme="4"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rgb="FFB2B2B2"/>
      </left>
      <right style="thin">
        <color rgb="FFB2B2B2"/>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style="thin">
        <color indexed="64"/>
      </right>
      <top style="medium">
        <color indexed="64"/>
      </top>
      <bottom/>
      <diagonal/>
    </border>
    <border>
      <left/>
      <right style="medium">
        <color indexed="64"/>
      </right>
      <top/>
      <bottom style="thin">
        <color indexed="64"/>
      </bottom>
      <diagonal/>
    </border>
  </borders>
  <cellStyleXfs count="8">
    <xf numFmtId="0" fontId="0" fillId="0" borderId="0"/>
    <xf numFmtId="0" fontId="3" fillId="0" borderId="0"/>
    <xf numFmtId="0" fontId="13" fillId="3" borderId="21" applyNumberFormat="0" applyFont="0" applyAlignment="0" applyProtection="0"/>
    <xf numFmtId="0" fontId="13" fillId="4" borderId="0" applyNumberFormat="0" applyBorder="0" applyAlignment="0" applyProtection="0"/>
    <xf numFmtId="0" fontId="13" fillId="5" borderId="0" applyNumberFormat="0" applyBorder="0" applyAlignment="0" applyProtection="0"/>
    <xf numFmtId="0" fontId="14"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cellStyleXfs>
  <cellXfs count="58">
    <xf numFmtId="0" fontId="0" fillId="0" borderId="0" xfId="0"/>
    <xf numFmtId="0" fontId="1" fillId="0" borderId="1" xfId="0" applyFont="1" applyBorder="1" applyAlignment="1">
      <alignment horizontal="left" vertical="top"/>
    </xf>
    <xf numFmtId="0" fontId="1" fillId="0" borderId="1" xfId="0" applyFont="1" applyBorder="1" applyAlignment="1">
      <alignment horizontal="left" vertical="top" wrapText="1"/>
    </xf>
    <xf numFmtId="0" fontId="1" fillId="0" borderId="1" xfId="0" applyFont="1" applyBorder="1" applyAlignment="1">
      <alignment horizontal="center" vertical="top" wrapText="1"/>
    </xf>
    <xf numFmtId="0" fontId="0" fillId="0" borderId="0" xfId="0" applyAlignment="1">
      <alignment wrapText="1"/>
    </xf>
    <xf numFmtId="0" fontId="8" fillId="0" borderId="0" xfId="0" applyFont="1"/>
    <xf numFmtId="0" fontId="9" fillId="0" borderId="2" xfId="0" applyFont="1" applyBorder="1" applyAlignment="1">
      <alignment horizontal="left" vertical="center" wrapText="1"/>
    </xf>
    <xf numFmtId="0" fontId="9" fillId="2" borderId="2" xfId="0" applyFont="1" applyFill="1" applyBorder="1" applyAlignment="1">
      <alignment horizontal="left" vertical="center" wrapText="1"/>
    </xf>
    <xf numFmtId="0" fontId="9" fillId="0" borderId="0" xfId="0" applyFont="1" applyAlignment="1">
      <alignment horizontal="left" vertical="top" wrapText="1"/>
    </xf>
    <xf numFmtId="0" fontId="10" fillId="0" borderId="7" xfId="0" applyFont="1" applyBorder="1" applyAlignment="1">
      <alignment horizontal="center"/>
    </xf>
    <xf numFmtId="0" fontId="10" fillId="0" borderId="8" xfId="0" applyFont="1" applyBorder="1" applyAlignment="1">
      <alignment horizontal="center"/>
    </xf>
    <xf numFmtId="0" fontId="11" fillId="0" borderId="3" xfId="0" applyFont="1" applyBorder="1" applyAlignment="1">
      <alignment horizontal="center"/>
    </xf>
    <xf numFmtId="0" fontId="11" fillId="0" borderId="4" xfId="0" applyFont="1" applyBorder="1" applyAlignment="1">
      <alignment horizontal="center"/>
    </xf>
    <xf numFmtId="0" fontId="11" fillId="0" borderId="5" xfId="0" applyFont="1" applyBorder="1" applyAlignment="1">
      <alignment horizontal="center"/>
    </xf>
    <xf numFmtId="0" fontId="11" fillId="0" borderId="6" xfId="0" applyFont="1" applyBorder="1" applyAlignment="1">
      <alignment horizontal="center"/>
    </xf>
    <xf numFmtId="0" fontId="13" fillId="8" borderId="12" xfId="7" applyBorder="1" applyAlignment="1">
      <alignment horizontal="center"/>
    </xf>
    <xf numFmtId="0" fontId="13" fillId="8" borderId="14" xfId="7" applyBorder="1" applyAlignment="1">
      <alignment horizontal="center"/>
    </xf>
    <xf numFmtId="0" fontId="13" fillId="5" borderId="18" xfId="4" applyBorder="1" applyAlignment="1">
      <alignment horizontal="center"/>
    </xf>
    <xf numFmtId="0" fontId="14" fillId="6" borderId="19" xfId="5" applyBorder="1" applyAlignment="1">
      <alignment horizontal="center" wrapText="1"/>
    </xf>
    <xf numFmtId="0" fontId="14" fillId="6" borderId="20" xfId="5" applyBorder="1" applyAlignment="1">
      <alignment horizontal="center"/>
    </xf>
    <xf numFmtId="0" fontId="14" fillId="6" borderId="20" xfId="5" applyBorder="1" applyAlignment="1">
      <alignment horizontal="center" wrapText="1"/>
    </xf>
    <xf numFmtId="0" fontId="14" fillId="6" borderId="11" xfId="5" applyBorder="1" applyAlignment="1">
      <alignment horizontal="center"/>
    </xf>
    <xf numFmtId="0" fontId="13" fillId="7" borderId="12" xfId="6" applyBorder="1" applyAlignment="1">
      <alignment horizontal="center" wrapText="1"/>
    </xf>
    <xf numFmtId="0" fontId="13" fillId="7" borderId="13" xfId="6" applyBorder="1" applyAlignment="1">
      <alignment horizontal="center" wrapText="1"/>
    </xf>
    <xf numFmtId="0" fontId="13" fillId="7" borderId="14" xfId="6" applyBorder="1" applyAlignment="1">
      <alignment horizontal="center" wrapText="1"/>
    </xf>
    <xf numFmtId="0" fontId="13" fillId="7" borderId="15" xfId="6" applyBorder="1" applyAlignment="1">
      <alignment horizontal="center" wrapText="1"/>
    </xf>
    <xf numFmtId="0" fontId="13" fillId="7" borderId="1" xfId="6" applyBorder="1" applyAlignment="1">
      <alignment horizontal="center" wrapText="1"/>
    </xf>
    <xf numFmtId="0" fontId="13" fillId="7" borderId="16" xfId="6" applyBorder="1" applyAlignment="1">
      <alignment horizontal="center" wrapText="1"/>
    </xf>
    <xf numFmtId="0" fontId="13" fillId="4" borderId="11" xfId="3" applyBorder="1" applyAlignment="1">
      <alignment horizontal="center"/>
    </xf>
    <xf numFmtId="0" fontId="15" fillId="11" borderId="1" xfId="0" applyFont="1" applyFill="1" applyBorder="1" applyAlignment="1">
      <alignment horizontal="left" vertical="top" wrapText="1"/>
    </xf>
    <xf numFmtId="0" fontId="15" fillId="11" borderId="9" xfId="0" applyFont="1" applyFill="1" applyBorder="1" applyAlignment="1">
      <alignment horizontal="center" vertical="top"/>
    </xf>
    <xf numFmtId="0" fontId="15" fillId="11" borderId="1" xfId="0" applyFont="1" applyFill="1" applyBorder="1" applyAlignment="1">
      <alignment horizontal="center" vertical="top"/>
    </xf>
    <xf numFmtId="0" fontId="0" fillId="12" borderId="1" xfId="0" applyFill="1" applyBorder="1" applyAlignment="1">
      <alignment wrapText="1"/>
    </xf>
    <xf numFmtId="0" fontId="0" fillId="12" borderId="1" xfId="0" applyFill="1" applyBorder="1"/>
    <xf numFmtId="0" fontId="0" fillId="0" borderId="0" xfId="0" applyAlignment="1">
      <alignment horizontal="center"/>
    </xf>
    <xf numFmtId="0" fontId="0" fillId="0" borderId="0" xfId="0" applyAlignment="1">
      <alignment horizontal="center" wrapText="1"/>
    </xf>
    <xf numFmtId="0" fontId="0" fillId="10" borderId="0" xfId="0" applyFill="1" applyAlignment="1">
      <alignment horizontal="center" vertical="center" wrapText="1"/>
    </xf>
    <xf numFmtId="0" fontId="13" fillId="3" borderId="22" xfId="2" applyBorder="1" applyAlignment="1">
      <alignment horizontal="center"/>
    </xf>
    <xf numFmtId="0" fontId="13" fillId="4" borderId="23" xfId="3" applyBorder="1" applyAlignment="1">
      <alignment horizontal="center"/>
    </xf>
    <xf numFmtId="0" fontId="13" fillId="3" borderId="1" xfId="2" applyBorder="1" applyAlignment="1">
      <alignment horizontal="center"/>
    </xf>
    <xf numFmtId="0" fontId="15" fillId="16" borderId="9" xfId="0" applyFont="1" applyFill="1" applyBorder="1" applyAlignment="1">
      <alignment horizontal="left" vertical="top" wrapText="1"/>
    </xf>
    <xf numFmtId="0" fontId="15" fillId="16" borderId="1" xfId="0" applyFont="1" applyFill="1" applyBorder="1" applyAlignment="1">
      <alignment horizontal="center" vertical="top" wrapText="1"/>
    </xf>
    <xf numFmtId="0" fontId="15" fillId="16" borderId="1" xfId="0" applyFont="1" applyFill="1" applyBorder="1" applyAlignment="1">
      <alignment horizontal="left" vertical="top" wrapText="1"/>
    </xf>
    <xf numFmtId="0" fontId="15" fillId="15" borderId="1" xfId="0" applyFont="1" applyFill="1" applyBorder="1" applyAlignment="1">
      <alignment horizontal="left" vertical="top" wrapText="1"/>
    </xf>
    <xf numFmtId="0" fontId="15" fillId="16" borderId="9" xfId="0" applyFont="1" applyFill="1" applyBorder="1" applyAlignment="1">
      <alignment horizontal="center" vertical="top" wrapText="1"/>
    </xf>
    <xf numFmtId="0" fontId="13" fillId="5" borderId="17" xfId="4" applyBorder="1" applyAlignment="1">
      <alignment horizontal="center" wrapText="1"/>
    </xf>
    <xf numFmtId="0" fontId="14" fillId="6" borderId="10" xfId="5" applyBorder="1" applyAlignment="1">
      <alignment horizontal="center" vertical="center"/>
    </xf>
    <xf numFmtId="0" fontId="15" fillId="11" borderId="1" xfId="0" applyFont="1" applyFill="1" applyBorder="1" applyAlignment="1">
      <alignment horizontal="center" vertical="top" wrapText="1"/>
    </xf>
    <xf numFmtId="0" fontId="15" fillId="11" borderId="9" xfId="0" applyFont="1" applyFill="1" applyBorder="1" applyAlignment="1">
      <alignment horizontal="center" vertical="top" wrapText="1"/>
    </xf>
    <xf numFmtId="0" fontId="0" fillId="9" borderId="1" xfId="0" applyFill="1" applyBorder="1" applyAlignment="1">
      <alignment horizontal="center" wrapText="1"/>
    </xf>
    <xf numFmtId="0" fontId="0" fillId="9" borderId="1" xfId="0" applyFill="1" applyBorder="1" applyAlignment="1">
      <alignment horizontal="center"/>
    </xf>
    <xf numFmtId="0" fontId="15" fillId="14" borderId="1" xfId="0" applyFont="1" applyFill="1" applyBorder="1" applyAlignment="1">
      <alignment horizontal="left" vertical="top" wrapText="1"/>
    </xf>
    <xf numFmtId="0" fontId="16" fillId="13" borderId="1" xfId="0" applyFont="1" applyFill="1" applyBorder="1" applyAlignment="1">
      <alignment wrapText="1"/>
    </xf>
    <xf numFmtId="0" fontId="12" fillId="13" borderId="1" xfId="0" applyFont="1" applyFill="1" applyBorder="1" applyAlignment="1">
      <alignment wrapText="1"/>
    </xf>
    <xf numFmtId="0" fontId="0" fillId="13" borderId="1" xfId="0" applyFill="1" applyBorder="1" applyAlignment="1">
      <alignment wrapText="1"/>
    </xf>
    <xf numFmtId="0" fontId="0" fillId="13" borderId="0" xfId="0" applyFill="1" applyAlignment="1">
      <alignment wrapText="1"/>
    </xf>
    <xf numFmtId="0" fontId="13" fillId="8" borderId="4" xfId="7" applyBorder="1" applyAlignment="1">
      <alignment horizontal="center" vertical="center" wrapText="1"/>
    </xf>
    <xf numFmtId="0" fontId="13" fillId="8" borderId="24" xfId="7" applyBorder="1" applyAlignment="1">
      <alignment horizontal="center" vertical="center" wrapText="1"/>
    </xf>
  </cellXfs>
  <cellStyles count="8">
    <cellStyle name="20% - Accent2" xfId="4" builtinId="34"/>
    <cellStyle name="20% - Accent5" xfId="6" builtinId="46"/>
    <cellStyle name="40% - Accent1" xfId="3" builtinId="31"/>
    <cellStyle name="40% - Accent6" xfId="7" builtinId="51"/>
    <cellStyle name="Accent5" xfId="5" builtinId="45"/>
    <cellStyle name="Normal" xfId="0" builtinId="0"/>
    <cellStyle name="Normal 2" xfId="1" xr:uid="{81706106-45D0-47A8-BF6A-3830CC98B268}"/>
    <cellStyle name="Note" xfId="2"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hyperlink" Target="mailto:snfa.entranceimages@uohyd.ac.in" TargetMode="External"/><Relationship Id="rId2" Type="http://schemas.openxmlformats.org/officeDocument/2006/relationships/hyperlink" Target="mailto:snfa.entranceimages@uohyd.ac.in" TargetMode="External"/><Relationship Id="rId1" Type="http://schemas.openxmlformats.org/officeDocument/2006/relationships/hyperlink" Target="mailto:snfa.entranceimages@uohyd.ac.i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A6AED-A203-4CD9-B19F-9BD326177F0A}">
  <sheetPr codeName="Sheet6"/>
  <dimension ref="C2:P7"/>
  <sheetViews>
    <sheetView showGridLines="0" workbookViewId="0">
      <selection activeCell="M19" sqref="M19"/>
    </sheetView>
  </sheetViews>
  <sheetFormatPr defaultRowHeight="14"/>
  <cols>
    <col min="4" max="4" width="10.9140625" customWidth="1"/>
    <col min="5" max="5" width="2.58203125" customWidth="1"/>
    <col min="8" max="8" width="2.58203125" customWidth="1"/>
    <col min="11" max="11" width="2.58203125" customWidth="1"/>
    <col min="14" max="14" width="2.58203125" customWidth="1"/>
  </cols>
  <sheetData>
    <row r="2" spans="3:16" ht="14.5" thickBot="1"/>
    <row r="3" spans="3:16" ht="14.5" thickBot="1">
      <c r="C3" s="9" t="s">
        <v>281</v>
      </c>
      <c r="D3" s="10"/>
      <c r="F3" s="9" t="s">
        <v>282</v>
      </c>
      <c r="G3" s="10"/>
      <c r="I3" s="9" t="s">
        <v>283</v>
      </c>
      <c r="J3" s="10"/>
      <c r="L3" s="9" t="s">
        <v>284</v>
      </c>
      <c r="M3" s="10"/>
      <c r="O3" s="9" t="s">
        <v>284</v>
      </c>
      <c r="P3" s="10"/>
    </row>
    <row r="4" spans="3:16" ht="14.4" customHeight="1">
      <c r="C4" s="11">
        <f>COUNTA(Data!C2:C6)</f>
        <v>5</v>
      </c>
      <c r="D4" s="12"/>
      <c r="F4" s="11">
        <f>COUNTA(Data!C10:C23)</f>
        <v>14</v>
      </c>
      <c r="G4" s="12"/>
      <c r="I4" s="11">
        <f>COUNTA(Data!C26:C42)</f>
        <v>17</v>
      </c>
      <c r="J4" s="12"/>
      <c r="L4" s="11">
        <f>COUNTA(Data!$C$43:$C$54)</f>
        <v>12</v>
      </c>
      <c r="M4" s="12"/>
      <c r="O4" s="11">
        <f>COUNTA(Data!$C$70:$C$80)</f>
        <v>11</v>
      </c>
      <c r="P4" s="12"/>
    </row>
    <row r="5" spans="3:16" ht="14.4" customHeight="1">
      <c r="C5" s="11"/>
      <c r="D5" s="12"/>
      <c r="F5" s="11"/>
      <c r="G5" s="12"/>
      <c r="I5" s="11"/>
      <c r="J5" s="12"/>
      <c r="L5" s="11"/>
      <c r="M5" s="12"/>
      <c r="O5" s="11"/>
      <c r="P5" s="12"/>
    </row>
    <row r="6" spans="3:16" ht="15" customHeight="1" thickBot="1">
      <c r="C6" s="13"/>
      <c r="D6" s="14"/>
      <c r="F6" s="13"/>
      <c r="G6" s="14"/>
      <c r="I6" s="13"/>
      <c r="J6" s="14"/>
      <c r="L6" s="13"/>
      <c r="M6" s="14"/>
      <c r="O6" s="13"/>
      <c r="P6" s="14"/>
    </row>
    <row r="7" spans="3:16">
      <c r="C7" t="s">
        <v>280</v>
      </c>
    </row>
  </sheetData>
  <mergeCells count="10">
    <mergeCell ref="O3:P3"/>
    <mergeCell ref="O4:P6"/>
    <mergeCell ref="C4:D6"/>
    <mergeCell ref="C3:D3"/>
    <mergeCell ref="F3:G3"/>
    <mergeCell ref="F4:G6"/>
    <mergeCell ref="I3:J3"/>
    <mergeCell ref="I4:J6"/>
    <mergeCell ref="L3:M3"/>
    <mergeCell ref="L4:M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8F625-E7F2-44AE-93C3-7DCE8E0FBDAF}">
  <dimension ref="A1:G12"/>
  <sheetViews>
    <sheetView showGridLines="0" tabSelected="1" zoomScale="98" zoomScaleNormal="98" workbookViewId="0">
      <selection activeCell="D4" sqref="D4"/>
    </sheetView>
  </sheetViews>
  <sheetFormatPr defaultRowHeight="14"/>
  <cols>
    <col min="1" max="1" width="15.08203125" customWidth="1"/>
    <col min="2" max="2" width="12.08203125" customWidth="1"/>
    <col min="3" max="3" width="30" customWidth="1"/>
    <col min="4" max="4" width="29" customWidth="1"/>
    <col min="5" max="5" width="19.75" customWidth="1"/>
    <col min="6" max="6" width="12.83203125" bestFit="1" customWidth="1"/>
    <col min="7" max="7" width="55.9140625" customWidth="1"/>
  </cols>
  <sheetData>
    <row r="1" spans="1:7">
      <c r="D1" s="15" t="s">
        <v>0</v>
      </c>
      <c r="E1" s="16" t="s">
        <v>23</v>
      </c>
    </row>
    <row r="2" spans="1:7" ht="74.5" customHeight="1" thickBot="1">
      <c r="D2" s="45" t="str" cm="1">
        <f t="array" ref="D2">_xlfn.SWITCH(E1,
"Integrated M.Sc.","Did You Studied Mathematics as one of the subjects at +2 level.","Integrated M.A","Did You Studied Any Language as Primary or Secondary Subject At +2 Level.","Integrated M.Tech."," ","M.A.","Did You Studied any Language as Compulsory subject or optional subject","M.Sc.","Did You Studied Mathematics as one of the subjects at Bachelors level","M.P.A.","Did you Do Bachelor’s degree in Performing Arts or have any professional diploma or certificate in concerned specialization","M.V.A.","Do you have Bachelor's Degree in Fine Arts BFA/BVA or BA (Fine Arts) or Possess Aptitude Art History","M.B.A. ","Have you done bachelors in Ayurvedic, Homeo, Unani, Dental, Physio Therapy, Nursing, Pharmacy, Pharm. D, Medical Lab Technology, Biomedical, Biotechnology and any Life Science Subjects.","M.Tech."," ")</f>
        <v>Did You Studied Any Language as Primary or Secondary Subject At +2 Level.</v>
      </c>
      <c r="E2" s="17" t="s">
        <v>2</v>
      </c>
    </row>
    <row r="3" spans="1:7" ht="41.4" customHeight="1" thickBot="1">
      <c r="A3" s="56" t="str">
        <f>IF(E2&lt;&gt;"", "Courses You are Eligible for", "")</f>
        <v>Courses You are Eligible for</v>
      </c>
      <c r="B3" s="46" t="s">
        <v>3</v>
      </c>
      <c r="C3" s="18" t="s">
        <v>4</v>
      </c>
      <c r="D3" s="19" t="s">
        <v>5</v>
      </c>
      <c r="E3" s="20" t="s">
        <v>6</v>
      </c>
      <c r="F3" s="18" t="s">
        <v>7</v>
      </c>
      <c r="G3" s="21" t="s">
        <v>8</v>
      </c>
    </row>
    <row r="4" spans="1:7" ht="143.4" customHeight="1">
      <c r="A4" s="57"/>
      <c r="B4" s="22" t="str" cm="1">
        <f t="array" ref="B4:G12">_xlfn._xlws.FILTER(Data!C:H,(Data!B:B='Model 1'!E1)*(Data!I:I='Model 1'!E2))</f>
        <v>Telugu</v>
      </c>
      <c r="C4" s="23" t="str">
        <v>A.  Core Paper
From Section IA, choose Telugu [112]
B.  Qualifying Papers Language:
From Section IA, choose English [101]</v>
      </c>
      <c r="D4" s="23">
        <v>19</v>
      </c>
      <c r="E4" s="23" t="str">
        <v>CUET- UG
Marks Scored in the Telugu</v>
      </c>
      <c r="F4" s="23" t="str">
        <v>5 Years</v>
      </c>
      <c r="G4" s="24" t="str">
        <v>With a minimum of 60% marks at +2 level of education with Telugu/English/ Hindi/Urdu as one of the subjects.
(Note: The students who are applying for Telugu/English/Hindi/Urdu should have studied respective subjects at +2 level.)
In case a student has not studied Telugu / Hindi/Urdu as one of the subjects, he/she should have passed an oriental title examination equivalent to Intermediate (i.e. + 2 level) in Telugu / Hindi/Urdu by Government of India or</v>
      </c>
    </row>
    <row r="5" spans="1:7" ht="112">
      <c r="B5" s="25" t="str">
        <v>Hindi</v>
      </c>
      <c r="C5" s="26" t="str">
        <v>A.  Core Paper
From Section IA, choose Hindi [102]
B.  Qualifying Papers Language:
From Section IA, choose English [101]</v>
      </c>
      <c r="D5" s="26">
        <v>10</v>
      </c>
      <c r="E5" s="26" t="str">
        <v>CUET- UG
Marks Scored in the Hindi</v>
      </c>
      <c r="F5" s="26" t="str">
        <v>5 Years</v>
      </c>
      <c r="G5" s="27" t="str">
        <v>With a minimum of 60% marks at +2 level of education with Telugu/English/ Hindi/Urdu as one of the subjects.
(Note: The students who are applying for Telugu/English/Hindi/Ur du should have studied respective subjects at +2 level.)
In case a student has not studied Telugu / Hindi/Urdu as one of the subjects, he/she should have passed an oriental title examination equivalent to Intermediate (i.e. + 2 level) in Telugu / Hindi/Urdu by Government of India or</v>
      </c>
    </row>
    <row r="6" spans="1:7" ht="98">
      <c r="B6" s="25" t="str">
        <v>Language Sciences</v>
      </c>
      <c r="C6" s="26" t="str">
        <v>A. Core Paper
1.   From Section IA, choose English [101]
2.   From Section III, choose General Test [501]</v>
      </c>
      <c r="D6" s="26">
        <v>19</v>
      </c>
      <c r="E6" s="26" t="str">
        <v>CUET- UG
Marks Scored in the English + General Test</v>
      </c>
      <c r="F6" s="26" t="str">
        <v>5 Years</v>
      </c>
      <c r="G6" s="27" t="str">
        <v>With a minimum of 60% marks at +2 level of education with Telugu/English/ Hindi/Urdu as one of the subjects.
(Note: The students who are applying for Telugu/English/Hindi/Ur du should have studied respective subjects at +2 level.)
In case a student has not studied Telugu / Hindi/Urdu as one of the subjects, he/she should have passed an oriental title examination equivalent to Intermediate (i.e. + 2 level) in Telugu / Hindi/Urdu by Government of India or</v>
      </c>
    </row>
    <row r="7" spans="1:7" ht="70">
      <c r="B7" s="25" t="str">
        <v>Urdu</v>
      </c>
      <c r="C7" s="26" t="str">
        <v>A.  Core Paper
From Section IA, choose Urdu [113]
B.  Qualifying Papers Language:
From Section IA, choose English [101]</v>
      </c>
      <c r="D7" s="26">
        <v>10</v>
      </c>
      <c r="E7" s="26" t="str">
        <v>CUET- UG
Marks Scored in the Urdu</v>
      </c>
      <c r="F7" s="26" t="str">
        <v>5 Years</v>
      </c>
      <c r="G7" s="27" t="str">
        <v>any State Government thereof along with + 2 level.
Note: Candidates who are applying for Telugu should have studied Telugu as first language in Class X</v>
      </c>
    </row>
    <row r="8" spans="1:7" ht="84">
      <c r="B8" s="25" t="str">
        <v>Economics</v>
      </c>
      <c r="C8" s="26" t="str">
        <v>A.  Core Paper
From Section III, choose General Test [501]
B.  Qualifying Papers Language:
From Section IA, choose English [101]</v>
      </c>
      <c r="D8" s="26">
        <v>14</v>
      </c>
      <c r="E8" s="26" t="str">
        <v>CUET- UG
Marks Scored in the General Test</v>
      </c>
      <c r="F8" s="26" t="str">
        <v>5 Years</v>
      </c>
      <c r="G8" s="27" t="str">
        <v>With a minimum of 60% marks at +2 level of education</v>
      </c>
    </row>
    <row r="9" spans="1:7" ht="84">
      <c r="B9" s="25" t="str">
        <v>History</v>
      </c>
      <c r="C9" s="26" t="str">
        <v>A.  Core Paper
From Section III, choose General Test [501]
B.  Qualifying Papers Language:
From Section I A, choose English [101]</v>
      </c>
      <c r="D9" s="26">
        <v>13</v>
      </c>
      <c r="E9" s="26" t="str">
        <v>CUET- UG
Marks Scored in the General Test</v>
      </c>
      <c r="F9" s="26" t="str">
        <v>5 Years</v>
      </c>
      <c r="G9" s="27" t="str">
        <v>With a minimum of 60% marks at +2 level of education</v>
      </c>
    </row>
    <row r="10" spans="1:7" ht="84">
      <c r="B10" s="25" t="str">
        <v>Political Science</v>
      </c>
      <c r="C10" s="26" t="str">
        <v>A.  Core Paper
From Section III, choose General Test [501]
B.  Qualifying Papers Language:
From Section I A, choose English [101]</v>
      </c>
      <c r="D10" s="26">
        <v>13</v>
      </c>
      <c r="E10" s="26" t="str">
        <v>CUET- UG
Marks Scored in the General Test</v>
      </c>
      <c r="F10" s="26" t="str">
        <v>5 Years</v>
      </c>
      <c r="G10" s="27" t="str">
        <v>With a minimum of 60% marks at +2 level of education</v>
      </c>
    </row>
    <row r="11" spans="1:7" ht="84">
      <c r="B11" s="25" t="str">
        <v>Sociology</v>
      </c>
      <c r="C11" s="26" t="str">
        <v>A.  Core Paper
From Section III, choose General Test [501]
B.  Qualifying Papers Language:
From Section I A, choose English [101]</v>
      </c>
      <c r="D11" s="26">
        <v>14</v>
      </c>
      <c r="E11" s="26" t="str">
        <v>CUET- UG
Marks Scored in the General Test</v>
      </c>
      <c r="F11" s="26" t="str">
        <v>5 Years</v>
      </c>
      <c r="G11" s="27" t="str">
        <v>With a minimum of 60% marks at +2 level of education</v>
      </c>
    </row>
    <row r="12" spans="1:7" ht="84">
      <c r="B12" s="25" t="str">
        <v>Anthropology</v>
      </c>
      <c r="C12" s="26" t="str">
        <v>A.  Core Paper
From Section III, choose General Test [501]
B.  Qualifying Papers Language:
From Section I A, choose English [101]</v>
      </c>
      <c r="D12" s="26">
        <v>13</v>
      </c>
      <c r="E12" s="26" t="str">
        <v>CUET- UG
Marks Scored in the General Test</v>
      </c>
      <c r="F12" s="26" t="str">
        <v>5 Years</v>
      </c>
      <c r="G12" s="27" t="str">
        <v>With a minimum of 60% marks at +2 level of education</v>
      </c>
    </row>
  </sheetData>
  <mergeCells count="1">
    <mergeCell ref="A3:A4"/>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5213F162-8E0A-4ED2-AA7F-6D239410E54B}">
          <x14:formula1>
            <xm:f>References!$A$2:$A$12</xm:f>
          </x14:formula1>
          <xm:sqref>E1</xm:sqref>
        </x14:dataValidation>
        <x14:dataValidation type="list" allowBlank="1" showInputMessage="1" showErrorMessage="1" xr:uid="{6B727ED6-8E71-4468-B0DD-1C1F6D06C4F2}">
          <x14:formula1>
            <xm:f>References!$C$2:$C$4</xm:f>
          </x14:formula1>
          <xm:sqref>E2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0EEF8-D3AF-4E7E-9CA4-2E8AD04201D9}">
  <sheetPr codeName="Sheet5"/>
  <dimension ref="A1:G14"/>
  <sheetViews>
    <sheetView showGridLines="0" zoomScale="108" workbookViewId="0">
      <selection activeCell="E1" sqref="E1"/>
    </sheetView>
  </sheetViews>
  <sheetFormatPr defaultColWidth="25.75" defaultRowHeight="14"/>
  <cols>
    <col min="1" max="1" width="14.5" style="35" customWidth="1"/>
    <col min="4" max="4" width="37.9140625" bestFit="1" customWidth="1"/>
    <col min="7" max="7" width="38.9140625" customWidth="1"/>
  </cols>
  <sheetData>
    <row r="1" spans="1:7" ht="14.5" thickBot="1">
      <c r="D1" s="38" t="s">
        <v>9</v>
      </c>
      <c r="E1" s="28" t="s">
        <v>40</v>
      </c>
    </row>
    <row r="2" spans="1:7">
      <c r="D2" s="39" t="str">
        <f>IF(ISNUMBER(SEARCH("JEE MAINS", E1)), "Which Paper Did You Appear in JEE MAINS", IF(ISNUMBER(SEARCH("CUET-PG", E1)), "Which Paper Did You Appear in CUET-PG", " "))</f>
        <v xml:space="preserve"> </v>
      </c>
      <c r="E2" s="37" t="s">
        <v>71</v>
      </c>
    </row>
    <row r="3" spans="1:7" s="34" customFormat="1" ht="70.400000000000006" customHeight="1">
      <c r="A3" s="35"/>
      <c r="B3" s="31" t="s">
        <v>3</v>
      </c>
      <c r="C3" s="47" t="s">
        <v>11</v>
      </c>
      <c r="D3" s="30" t="s">
        <v>5</v>
      </c>
      <c r="E3" s="48" t="s">
        <v>12</v>
      </c>
      <c r="F3" s="31" t="s">
        <v>7</v>
      </c>
      <c r="G3" s="47" t="s">
        <v>8</v>
      </c>
    </row>
    <row r="4" spans="1:7" s="34" customFormat="1" ht="86.4" customHeight="1">
      <c r="A4" s="36" t="str">
        <f>IF(E2&lt;&gt;"", "Courses You are Eligible for", "")</f>
        <v>Courses You are Eligible for</v>
      </c>
      <c r="B4" s="49" t="str" cm="1">
        <f t="array" ref="B4:G4">_xlfn._xlws.FILTER(Data!C:H,(Data!F:F=E1)*(Data!D:D=E2),"No Such Combination Exist Please Make Appropriate Selection")</f>
        <v>BIOTECHNOLOGY</v>
      </c>
      <c r="C4" s="50" t="str">
        <v>NA</v>
      </c>
      <c r="D4" s="50">
        <v>0</v>
      </c>
      <c r="E4" s="50" t="str">
        <v>GAT-B</v>
      </c>
      <c r="F4" s="50" t="str">
        <v>2 Years</v>
      </c>
      <c r="G4" s="49" t="str">
        <v>Bachelor/s degree under 10+2+3 pattern of education in Physical, Biological, Agricultural, Veterinary and Fishery Sciences, Pharmacy, 4 years Engineering/Technology, B.Sc. (Physician Assistant Course) or Medicine (MBBS) or BDS with at least 55% marks.</v>
      </c>
    </row>
    <row r="5" spans="1:7" ht="73.650000000000006" customHeight="1">
      <c r="B5" s="32"/>
      <c r="C5" s="33"/>
      <c r="D5" s="33"/>
      <c r="E5" s="33"/>
      <c r="F5" s="33"/>
      <c r="G5" s="32"/>
    </row>
    <row r="6" spans="1:7">
      <c r="B6" s="32"/>
      <c r="C6" s="33"/>
      <c r="D6" s="33"/>
      <c r="E6" s="33"/>
      <c r="F6" s="33"/>
      <c r="G6" s="32"/>
    </row>
    <row r="7" spans="1:7">
      <c r="B7" s="32"/>
      <c r="C7" s="33"/>
      <c r="D7" s="33"/>
      <c r="E7" s="33"/>
      <c r="F7" s="33"/>
      <c r="G7" s="32"/>
    </row>
    <row r="8" spans="1:7">
      <c r="B8" s="32"/>
      <c r="C8" s="33"/>
      <c r="D8" s="33"/>
      <c r="E8" s="33"/>
      <c r="F8" s="33"/>
      <c r="G8" s="32"/>
    </row>
    <row r="9" spans="1:7">
      <c r="B9" s="32"/>
      <c r="C9" s="33"/>
      <c r="D9" s="33"/>
      <c r="E9" s="33"/>
      <c r="F9" s="33"/>
      <c r="G9" s="32"/>
    </row>
    <row r="10" spans="1:7">
      <c r="B10" s="32"/>
      <c r="C10" s="33"/>
      <c r="D10" s="33"/>
      <c r="E10" s="33"/>
      <c r="F10" s="33"/>
      <c r="G10" s="32"/>
    </row>
    <row r="11" spans="1:7">
      <c r="B11" s="32"/>
      <c r="C11" s="33"/>
      <c r="D11" s="33"/>
      <c r="E11" s="33"/>
      <c r="F11" s="33"/>
      <c r="G11" s="32"/>
    </row>
    <row r="12" spans="1:7">
      <c r="B12" s="32"/>
      <c r="C12" s="33"/>
      <c r="D12" s="33"/>
      <c r="E12" s="33"/>
      <c r="F12" s="33"/>
      <c r="G12" s="32"/>
    </row>
    <row r="13" spans="1:7">
      <c r="B13" s="32"/>
      <c r="C13" s="33"/>
      <c r="D13" s="33"/>
      <c r="E13" s="33"/>
      <c r="F13" s="33"/>
      <c r="G13" s="32"/>
    </row>
    <row r="14" spans="1:7">
      <c r="B14" s="32"/>
      <c r="C14" s="33"/>
      <c r="D14" s="33"/>
      <c r="E14" s="33"/>
      <c r="F14" s="33"/>
      <c r="G14" s="32"/>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4D681EA6-6A0F-43F5-9B6B-E5F3918C1BCF}">
          <x14:formula1>
            <xm:f>References!$B$2:$B$9</xm:f>
          </x14:formula1>
          <xm:sqref>E1</xm:sqref>
        </x14:dataValidation>
        <x14:dataValidation type="list" allowBlank="1" showInputMessage="1" showErrorMessage="1" xr:uid="{A5978DFA-99A5-4C8D-9D7C-EBAD1695A0A5}">
          <x14:formula1>
            <xm:f>References!$E$2:$E$45</xm:f>
          </x14:formula1>
          <xm:sqref>E2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2004-5273-4951-BEB9-901C6595FC8F}">
  <sheetPr codeName="Sheet7"/>
  <dimension ref="A1:H53"/>
  <sheetViews>
    <sheetView showGridLines="0" zoomScale="86" zoomScaleNormal="99" workbookViewId="0">
      <selection activeCell="E3" sqref="E3"/>
    </sheetView>
  </sheetViews>
  <sheetFormatPr defaultRowHeight="14"/>
  <cols>
    <col min="1" max="1" width="16.33203125" style="4" customWidth="1"/>
    <col min="2" max="2" width="22.9140625" style="4" customWidth="1"/>
    <col min="3" max="3" width="26.33203125" style="4" customWidth="1"/>
    <col min="4" max="4" width="19.4140625" style="4" bestFit="1" customWidth="1"/>
    <col min="5" max="5" width="34.4140625" style="4" bestFit="1" customWidth="1"/>
    <col min="6" max="6" width="11.1640625" style="4" customWidth="1"/>
    <col min="7" max="7" width="86.6640625" style="4" customWidth="1"/>
  </cols>
  <sheetData>
    <row r="1" spans="1:8" ht="18">
      <c r="B1" s="52" t="s">
        <v>13</v>
      </c>
      <c r="C1" s="53" t="s">
        <v>285</v>
      </c>
      <c r="D1" s="54"/>
      <c r="E1" s="54"/>
      <c r="F1" s="54"/>
      <c r="G1" s="55"/>
    </row>
    <row r="2" spans="1:8" ht="46.5">
      <c r="A2" s="29" t="s">
        <v>73</v>
      </c>
      <c r="B2" s="29" t="s">
        <v>3</v>
      </c>
      <c r="C2" s="29" t="s">
        <v>11</v>
      </c>
      <c r="D2" s="29" t="s">
        <v>5</v>
      </c>
      <c r="E2" s="29" t="s">
        <v>12</v>
      </c>
      <c r="F2" s="29" t="s">
        <v>7</v>
      </c>
      <c r="G2" s="29" t="s">
        <v>8</v>
      </c>
    </row>
    <row r="3" spans="1:8" ht="121.75" customHeight="1">
      <c r="A3" s="51" t="str" cm="1">
        <f t="array" ref="A3:G52">_xlfn._xlws.FILTER(Data!B:H,
        (ISNUMBER(SEARCH('Model 3'!C1, Data!K:K))) *
        (ISNUMBER(SEARCH('Model 3'!D1, Data!K:K))) *
        (ISNUMBER(SEARCH('Model 3'!E1, Data!K:K)))* (ISNUMBER(SEARCH('Model 3'!F1, Data!K:K))) *
        (ISNUMBER(SEARCH('Model 3'!G1, Data!K:K))),"No Courses With Your Matching Interests"
)</f>
        <v>Integrated M.Sc.</v>
      </c>
      <c r="B3" s="43" t="str">
        <v>Mathematical Sciences</v>
      </c>
      <c r="C3" s="51" t="str">
        <v>A.  Core Paper
From Section II, choose
1. Mathematics [319]
2. Physics [322]
3. Chemistry [306]
B.  Qualifying Papers Language:
From Section IA, choose English [101]</v>
      </c>
      <c r="D3" s="51">
        <v>20</v>
      </c>
      <c r="E3" s="51" t="str">
        <v>CUET- UG
Marks of
Maths+ Physics+ Chemistry</v>
      </c>
      <c r="F3" s="51" t="str">
        <v>5 Years</v>
      </c>
      <c r="G3" s="51" t="str">
        <v>With a minimum of 60% marks at +2 level of education with Science subjects only. NOTE: For admission to Mathematical Sciences and Physics stream, it is essential to have Mathematics as one of the subjects at +2 level. NOTE: Candidates seeking admission to I.M.Sc. Chemical Sciences should be able to conduct their experiments on their own. There will be no provision for allowing any assistance or scribe to do the experiments</v>
      </c>
      <c r="H3" s="4"/>
    </row>
    <row r="4" spans="1:8" ht="117.65" customHeight="1">
      <c r="A4" s="51" t="str">
        <v>Integrated M.Sc.</v>
      </c>
      <c r="B4" s="43" t="str">
        <v>Physics</v>
      </c>
      <c r="C4" s="51" t="str">
        <v>A.  Core Paper
From Section II, choose
1. Physics [322]
2. Mathematics [319]
3. Chemistry [306]
B.  Qualifying Papers Language:
From Section IA, choose English [101]</v>
      </c>
      <c r="D4" s="40">
        <v>20</v>
      </c>
      <c r="E4" s="41" t="str">
        <v>CUET- UG
Marks of
Physics+ Maths+ Chemistry</v>
      </c>
      <c r="F4" s="42" t="str">
        <v>5 Years</v>
      </c>
      <c r="G4" s="42" t="str">
        <v>With a minimum of 60% marks at +2 level of education with Science subjects only. NOTE: For admission to Mathematical Sciences and Physics stream, it is essential to have Mathematics as one of the subjects at +2 level. NOTE: Candidates seeking admission to I.M.Sc. Chemical Sciences should be able to conduct their experiments on their own. There will be no provision for allowing any assistance or scribe to do the experiments</v>
      </c>
    </row>
    <row r="5" spans="1:8" ht="100.25" customHeight="1">
      <c r="A5" s="42" t="str">
        <v>Integrated M.Sc.</v>
      </c>
      <c r="B5" s="43" t="str">
        <v>Chemical Sciences</v>
      </c>
      <c r="C5" s="44" t="str">
        <v>A.  Core Paper
From Section II, choose
1. Chemistry [306]
B.  Qualifying Papers Language:
From Section IA, choose
1. English [101] And from Section II choose
2. Physics [322]</v>
      </c>
      <c r="D5" s="40">
        <v>20</v>
      </c>
      <c r="E5" s="41" t="str">
        <v>CUET- UG
Marks of
Chemistry (only)</v>
      </c>
      <c r="F5" s="42" t="str">
        <v>5 Years</v>
      </c>
      <c r="G5" s="42" t="str">
        <v>With a minimum of 60% marks at +2 level of education with Science subjects only. NOTE: For admission to Mathematical Sciences and Physics stream, it is essential to have Mathematics as one of the subjects at +2 level. NOTE: Candidates seeking admission to I.M.Sc. Chemical Sciences should be able to conduct their experiments on their own. There will be no provision for allowing any assistance or scribe to do the experiments</v>
      </c>
    </row>
    <row r="6" spans="1:8" ht="100.25" customHeight="1">
      <c r="A6" s="42" t="str">
        <v>Integrated M.Sc.</v>
      </c>
      <c r="B6" s="43" t="str">
        <v>Biology*</v>
      </c>
      <c r="C6" s="44" t="str">
        <v>A.  Core Paper
From Section II, choose
1. Biology [304]
2. Chemistry [306]
3. Physics [322]
4. Mathematics [319]
B.  Qualifying Papers Language:
From Section IA, choose English [101]</v>
      </c>
      <c r="D6" s="40">
        <v>48</v>
      </c>
      <c r="E6" s="41" t="str">
        <v>CUET- UG
Marks of Biology + Chemistry + Physics + Mathematics</v>
      </c>
      <c r="F6" s="42" t="str">
        <v>5 Years</v>
      </c>
      <c r="G6" s="42" t="str">
        <v>With a minimum of 60% marks at +2 level of education with Science subjects only. NOTE: For admission to Mathematical Sciences and Physics stream, it is essential to have Mathematics as one of the subjects at +2 level. NOTE: Candidates seeking admission to I.M.Sc. Chemical Sciences should be able to conduct their experiments on their own. There will be no provision for allowing any assistance or scribe to do the experiments</v>
      </c>
    </row>
    <row r="7" spans="1:8" ht="148.75" customHeight="1">
      <c r="A7" s="42" t="str">
        <v>Integrated M.Sc.</v>
      </c>
      <c r="B7" s="43" t="str">
        <v>Applied Geology</v>
      </c>
      <c r="C7" s="44" t="str">
        <v>A.  Core Paper
From Section II, choose
1. Physics [322]
2. Chemistry [306]
B.  Qualifying Papers Language:
From Section IA, choose
1. English [101]And from Section II choose
2. Mathematics [319]
3. Biology [304]</v>
      </c>
      <c r="D7" s="40">
        <v>10</v>
      </c>
      <c r="E7" s="41" t="str">
        <v>CUET- UG
Marks of
Physics+ Chemistry</v>
      </c>
      <c r="F7" s="42" t="str">
        <v>5 Years</v>
      </c>
      <c r="G7" s="42" t="str">
        <v>With a minimum of 60% marks at +2 level of education with Science subjects only. NOTE: For admission to Mathematical Sciences and Physics stream, it is essential to have Mathematics as one of the subjects at +2 level. NOTE: Candidates seeking admission to I.M.Sc. Chemical Sciences should be able to conduct their experiments on their own. There will be no provision for allowing any assistance or scribe to do the experiments</v>
      </c>
    </row>
    <row r="8" spans="1:8" ht="139.5">
      <c r="A8" s="42" t="str">
        <v>Integrated M.Sc.</v>
      </c>
      <c r="B8" s="43" t="str">
        <v>Chemical Sciences</v>
      </c>
      <c r="C8" s="44" t="str">
        <v>A.  Core Paper
From Section II, choose
1. Chemistry [306]
B.  Qualifying Papers Language:
From Section IA, choose
1. English [101] And from Section II choose
2. Physics [322]</v>
      </c>
      <c r="D8" s="40">
        <v>20</v>
      </c>
      <c r="E8" s="41" t="str">
        <v>CUET- UG
Marks of
Chemistry (only)</v>
      </c>
      <c r="F8" s="42" t="str">
        <v>5 Years</v>
      </c>
      <c r="G8" s="42" t="str">
        <v>With a minimum of 60% marks at +2 level of education with Science subjects only. NOTE: For admission to Mathematical Sciences and Physics stream, it is essential to have Mathematics as one of the subjects at +2 level. NOTE: Candidates seeking admission to I.M.Sc. Chemical Sciences should be able to conduct their experiments on their own. There will be no provision for allowing any assistance or scribe to do the experiments</v>
      </c>
    </row>
    <row r="9" spans="1:8" ht="155">
      <c r="A9" s="42" t="str">
        <v>Integrated M.Sc.</v>
      </c>
      <c r="B9" s="43" t="str">
        <v>Biology*</v>
      </c>
      <c r="C9" s="44" t="str">
        <v>A.  Core Paper
From Section II, choose
1. Biology [304]
2. Chemistry [306]
3. Physics [322]
4. Mathematics [319]
B.  Qualifying Papers Language:
From Section IA, choose English [101]</v>
      </c>
      <c r="D9" s="40">
        <v>48</v>
      </c>
      <c r="E9" s="41" t="str">
        <v>CUET- UG
Marks of Biology + Chemistry + Physics + Mathematics</v>
      </c>
      <c r="F9" s="42" t="str">
        <v>5 Years</v>
      </c>
      <c r="G9" s="42" t="str">
        <v>With a minimum of 60% marks at +2 level of education with Science subjects only. NOTE: For admission to Mathematical Sciences and Physics stream, it is essential to have Mathematics as one of the subjects at +2 level. NOTE: Candidates seeking admission to I.M.Sc. Chemical Sciences should be able to conduct their experiments on their own. There will be no provision for allowing any assistance or scribe to do the experiments</v>
      </c>
    </row>
    <row r="10" spans="1:8" ht="170.5">
      <c r="A10" s="42" t="str">
        <v>Integrated M.Sc.</v>
      </c>
      <c r="B10" s="43" t="str">
        <v>Applied Geology</v>
      </c>
      <c r="C10" s="44" t="str">
        <v>A.  Core Paper
From Section II, choose
1. Physics [322]
2. Chemistry [306]
B.  Qualifying Papers Language:
From Section IA, choose
1. English [101]And from Section II choose
2. Mathematics [319]
3. Biology [304]</v>
      </c>
      <c r="D10" s="40">
        <v>10</v>
      </c>
      <c r="E10" s="41" t="str">
        <v>CUET- UG
Marks of
Physics+ Chemistry</v>
      </c>
      <c r="F10" s="42" t="str">
        <v>5 Years</v>
      </c>
      <c r="G10" s="42" t="str">
        <v>With a minimum of 60% marks at +2 level of education with Science subjects only. NOTE: For admission to Mathematical Sciences and Physics stream, it is essential to have Mathematics as one of the subjects at +2 level. NOTE: Candidates seeking admission to I.M.Sc. Chemical Sciences should be able to conduct their experiments on their own. There will be no provision for allowing any assistance or scribe to do the experiments</v>
      </c>
    </row>
    <row r="11" spans="1:8" ht="108.5">
      <c r="A11" s="51" t="str">
        <v>Integrated M.A</v>
      </c>
      <c r="B11" s="43" t="str">
        <v>Telugu</v>
      </c>
      <c r="C11" s="51" t="str">
        <v>A.  Core Paper
From Section IA, choose Telugu [112]
B.  Qualifying Papers Language:
From Section IA, choose English [101]</v>
      </c>
      <c r="D11" s="51">
        <v>19</v>
      </c>
      <c r="E11" s="51" t="str">
        <v>CUET- UG
Marks Scored in the Telugu</v>
      </c>
      <c r="F11" s="51" t="str">
        <v>5 Years</v>
      </c>
      <c r="G11" s="51" t="str">
        <v>With a minimum of 60% marks at +2 level of education with Telugu/English/ Hindi/Urdu as one of the subjects.
(Note: The students who are applying for Telugu/English/Hindi/Urdu should have studied respective subjects at +2 level.)
In case a student has not studied Telugu / Hindi/Urdu as one of the subjects, he/she should have passed an oriental title examination equivalent to Intermediate (i.e. + 2 level) in Telugu / Hindi/Urdu by Government of India or</v>
      </c>
    </row>
    <row r="12" spans="1:8" ht="108.5">
      <c r="A12" s="51" t="str">
        <v>Integrated M.A</v>
      </c>
      <c r="B12" s="43" t="str">
        <v>Hindi</v>
      </c>
      <c r="C12" s="51" t="str">
        <v>A.  Core Paper
From Section IA, choose Hindi [102]
B.  Qualifying Papers Language:
From Section IA, choose English [101]</v>
      </c>
      <c r="D12" s="51">
        <v>10</v>
      </c>
      <c r="E12" s="51" t="str">
        <v>CUET- UG
Marks Scored in the Hindi</v>
      </c>
      <c r="F12" s="51" t="str">
        <v>5 Years</v>
      </c>
      <c r="G12" s="51" t="str">
        <v>With a minimum of 60% marks at +2 level of education with Telugu/English/ Hindi/Urdu as one of the subjects.
(Note: The students who are applying for Telugu/English/Hindi/Ur du should have studied respective subjects at +2 level.)
In case a student has not studied Telugu / Hindi/Urdu as one of the subjects, he/she should have passed an oriental title examination equivalent to Intermediate (i.e. + 2 level) in Telugu / Hindi/Urdu by Government of India or</v>
      </c>
    </row>
    <row r="13" spans="1:8" ht="108.5">
      <c r="A13" s="51" t="str">
        <v>Integrated M.A</v>
      </c>
      <c r="B13" s="43" t="str">
        <v>Language Sciences</v>
      </c>
      <c r="C13" s="51" t="str">
        <v>A. Core Paper
1.   From Section IA, choose English [101]
2.   From Section III, choose General Test [501]</v>
      </c>
      <c r="D13" s="51">
        <v>19</v>
      </c>
      <c r="E13" s="51" t="str">
        <v>CUET- UG
Marks Scored in the English + General Test</v>
      </c>
      <c r="F13" s="51" t="str">
        <v>5 Years</v>
      </c>
      <c r="G13" s="51" t="str">
        <v>With a minimum of 60% marks at +2 level of education with Telugu/English/ Hindi/Urdu as one of the subjects.
(Note: The students who are applying for Telugu/English/Hindi/Ur du should have studied respective subjects at +2 level.)
In case a student has not studied Telugu / Hindi/Urdu as one of the subjects, he/she should have passed an oriental title examination equivalent to Intermediate (i.e. + 2 level) in Telugu / Hindi/Urdu by Government of India or</v>
      </c>
    </row>
    <row r="14" spans="1:8" ht="108.5">
      <c r="A14" s="51" t="str">
        <v>Integrated M.A</v>
      </c>
      <c r="B14" s="43" t="str">
        <v>Urdu</v>
      </c>
      <c r="C14" s="51" t="str">
        <v>A.  Core Paper
From Section IA, choose Urdu [113]
B.  Qualifying Papers Language:
From Section IA, choose English [101]</v>
      </c>
      <c r="D14" s="51">
        <v>10</v>
      </c>
      <c r="E14" s="51" t="str">
        <v>CUET- UG
Marks Scored in the Urdu</v>
      </c>
      <c r="F14" s="51" t="str">
        <v>5 Years</v>
      </c>
      <c r="G14" s="51" t="str">
        <v>any State Government thereof along with + 2 level.
Note: Candidates who are applying for Telugu should have studied Telugu as first language in Class X</v>
      </c>
    </row>
    <row r="15" spans="1:8" ht="108.5">
      <c r="A15" s="51" t="str">
        <v>Integrated M.A</v>
      </c>
      <c r="B15" s="43" t="str">
        <v>Economics</v>
      </c>
      <c r="C15" s="51" t="str">
        <v>A.  Core Paper
From Section III, choose General Test [501]
B.  Qualifying Papers Language:
From Section IA, choose English [101]</v>
      </c>
      <c r="D15" s="51">
        <v>14</v>
      </c>
      <c r="E15" s="51" t="str">
        <v>CUET- UG
Marks Scored in the General Test</v>
      </c>
      <c r="F15" s="51" t="str">
        <v>5 Years</v>
      </c>
      <c r="G15" s="51" t="str">
        <v>With a minimum of 60% marks at +2 level of education</v>
      </c>
    </row>
    <row r="16" spans="1:8" ht="108.5">
      <c r="A16" s="51" t="str">
        <v>Integrated M.A</v>
      </c>
      <c r="B16" s="43" t="str">
        <v>History</v>
      </c>
      <c r="C16" s="51" t="str">
        <v>A.  Core Paper
From Section III, choose General Test [501]
B.  Qualifying Papers Language:
From Section I A, choose English [101]</v>
      </c>
      <c r="D16" s="51">
        <v>13</v>
      </c>
      <c r="E16" s="51" t="str">
        <v>CUET- UG
Marks Scored in the General Test</v>
      </c>
      <c r="F16" s="51" t="str">
        <v>5 Years</v>
      </c>
      <c r="G16" s="51" t="str">
        <v>With a minimum of 60% marks at +2 level of education</v>
      </c>
    </row>
    <row r="17" spans="1:7" ht="108.5">
      <c r="A17" s="51" t="str">
        <v>Integrated M.A</v>
      </c>
      <c r="B17" s="43" t="str">
        <v>Political Science</v>
      </c>
      <c r="C17" s="51" t="str">
        <v>A.  Core Paper
From Section III, choose General Test [501]
B.  Qualifying Papers Language:
From Section I A, choose English [101]</v>
      </c>
      <c r="D17" s="51">
        <v>13</v>
      </c>
      <c r="E17" s="51" t="str">
        <v>CUET- UG
Marks Scored in the General Test</v>
      </c>
      <c r="F17" s="51" t="str">
        <v>5 Years</v>
      </c>
      <c r="G17" s="51" t="str">
        <v>With a minimum of 60% marks at +2 level of education</v>
      </c>
    </row>
    <row r="18" spans="1:7" ht="108.5">
      <c r="A18" s="51" t="str">
        <v>Integrated M.A</v>
      </c>
      <c r="B18" s="43" t="str">
        <v>Sociology</v>
      </c>
      <c r="C18" s="51" t="str">
        <v>A.  Core Paper
From Section III, choose General Test [501]
B.  Qualifying Papers Language:
From Section I A, choose English [101]</v>
      </c>
      <c r="D18" s="51">
        <v>14</v>
      </c>
      <c r="E18" s="51" t="str">
        <v>CUET- UG
Marks Scored in the General Test</v>
      </c>
      <c r="F18" s="51" t="str">
        <v>5 Years</v>
      </c>
      <c r="G18" s="51" t="str">
        <v>With a minimum of 60% marks at +2 level of education</v>
      </c>
    </row>
    <row r="19" spans="1:7" ht="108.5">
      <c r="A19" s="51" t="str">
        <v>Integrated M.A</v>
      </c>
      <c r="B19" s="43" t="str">
        <v>Anthropology</v>
      </c>
      <c r="C19" s="51" t="str">
        <v>A.  Core Paper
From Section III, choose General Test [501]
B.  Qualifying Papers Language:
From Section I A, choose English [101]</v>
      </c>
      <c r="D19" s="51">
        <v>13</v>
      </c>
      <c r="E19" s="51" t="str">
        <v>CUET- UG
Marks Scored in the General Test</v>
      </c>
      <c r="F19" s="51" t="str">
        <v>5 Years</v>
      </c>
      <c r="G19" s="51" t="str">
        <v>With a minimum of 60% marks at +2 level of education</v>
      </c>
    </row>
    <row r="20" spans="1:7" ht="108.5">
      <c r="A20" s="51" t="str">
        <v>Integrated M.A</v>
      </c>
      <c r="B20" s="43" t="str">
        <v>Economics</v>
      </c>
      <c r="C20" s="51" t="str">
        <v>A.  Core Paper
From Section III, choose General Test [501]
B.  Qualifying Papers Language:
From Section IA, choose English [101]</v>
      </c>
      <c r="D20" s="51">
        <v>14</v>
      </c>
      <c r="E20" s="51" t="str">
        <v>CUET- UG
Marks Scored in the General Test</v>
      </c>
      <c r="F20" s="51" t="str">
        <v>5 Years</v>
      </c>
      <c r="G20" s="51" t="str">
        <v>With a minimum of 60% marks at +2 level of education</v>
      </c>
    </row>
    <row r="21" spans="1:7" ht="108.5">
      <c r="A21" s="51" t="str">
        <v>Integrated M.A</v>
      </c>
      <c r="B21" s="43" t="str">
        <v>History</v>
      </c>
      <c r="C21" s="51" t="str">
        <v>A.  Core Paper
From Section III, choose General Test [501]
B.  Qualifying Papers Language:
From Section I A, choose English [101]</v>
      </c>
      <c r="D21" s="51">
        <v>13</v>
      </c>
      <c r="E21" s="51" t="str">
        <v>CUET- UG
Marks Scored in the General Test</v>
      </c>
      <c r="F21" s="51" t="str">
        <v>5 Years</v>
      </c>
      <c r="G21" s="51" t="str">
        <v>With a minimum of 60% marks at +2 level of education</v>
      </c>
    </row>
    <row r="22" spans="1:7" ht="108.5">
      <c r="A22" s="51" t="str">
        <v>Integrated M.A</v>
      </c>
      <c r="B22" s="43" t="str">
        <v>Political Science</v>
      </c>
      <c r="C22" s="51" t="str">
        <v>A.  Core Paper
From Section III, choose General Test [501]
B.  Qualifying Papers Language:
From Section I A, choose English [101]</v>
      </c>
      <c r="D22" s="51">
        <v>13</v>
      </c>
      <c r="E22" s="51" t="str">
        <v>CUET- UG
Marks Scored in the General Test</v>
      </c>
      <c r="F22" s="51" t="str">
        <v>5 Years</v>
      </c>
      <c r="G22" s="51" t="str">
        <v>With a minimum of 60% marks at +2 level of education</v>
      </c>
    </row>
    <row r="23" spans="1:7" ht="108.5">
      <c r="A23" s="51" t="str">
        <v>Integrated M.A</v>
      </c>
      <c r="B23" s="43" t="str">
        <v>Sociology</v>
      </c>
      <c r="C23" s="51" t="str">
        <v>A.  Core Paper
From Section III, choose General Test [501]
B.  Qualifying Papers Language:
From Section I A, choose English [101]</v>
      </c>
      <c r="D23" s="51">
        <v>14</v>
      </c>
      <c r="E23" s="51" t="str">
        <v>CUET- UG
Marks Scored in the General Test</v>
      </c>
      <c r="F23" s="51" t="str">
        <v>5 Years</v>
      </c>
      <c r="G23" s="51" t="str">
        <v>With a minimum of 60% marks at +2 level of education</v>
      </c>
    </row>
    <row r="24" spans="1:7" ht="108.5">
      <c r="A24" s="51" t="str">
        <v>Integrated M.A</v>
      </c>
      <c r="B24" s="43" t="str">
        <v>Anthropology</v>
      </c>
      <c r="C24" s="51" t="str">
        <v>A.  Core Paper
From Section III, choose General Test [501]
B.  Qualifying Papers Language:
From Section I A, choose English [101]</v>
      </c>
      <c r="D24" s="51">
        <v>13</v>
      </c>
      <c r="E24" s="51" t="str">
        <v>CUET- UG
Marks Scored in the General Test</v>
      </c>
      <c r="F24" s="51" t="str">
        <v>5 Years</v>
      </c>
      <c r="G24" s="51" t="str">
        <v>With a minimum of 60% marks at +2 level of education</v>
      </c>
    </row>
    <row r="25" spans="1:7" ht="93">
      <c r="A25" s="51" t="str">
        <v>Integrated M.Tech.</v>
      </c>
      <c r="B25" s="43" t="str">
        <v>Computer Science</v>
      </c>
      <c r="C25" s="51" t="str">
        <v>Paper 1</v>
      </c>
      <c r="D25" s="51">
        <v>40</v>
      </c>
      <c r="E25" s="51" t="str">
        <v>JEE MAINS</v>
      </c>
      <c r="F25" s="51" t="str">
        <v>5 Years</v>
      </c>
      <c r="G25" s="51" t="str">
        <v>As per JOSAA/CSAB guidelines. One of the criteria for admission is that the candidate should satisfy at least one of these two criteria: (i) The candidate is within the category-wise top 20 percentile of successful candidates in their respective Class XII (or equivalent) examination of the respective stream and Board. (ii) The candidate has secured minimum 75% (for GEN or OBC-NCL) or minimum 65 % (for SC, ST or PWD) of aggregate marks in Class XII (or equivalent) examination of the respective stream and Board</v>
      </c>
    </row>
    <row r="26" spans="1:7" ht="46.5">
      <c r="A26" s="51" t="str">
        <v>M.A.</v>
      </c>
      <c r="B26" s="43" t="str">
        <v>ECONOMICS</v>
      </c>
      <c r="C26" s="51" t="str">
        <v>COQP10</v>
      </c>
      <c r="D26" s="51">
        <v>0</v>
      </c>
      <c r="E26" s="51" t="str">
        <v>CUET-PG</v>
      </c>
      <c r="F26" s="51" t="str">
        <v>2 Years</v>
      </c>
      <c r="G26" s="51" t="str">
        <v>A Bachelor’s degree in Economics with at least 50% marks in aggregate and at least 50% marks in Economics; OR Bachelor’s degree with at least 60% marks in any of the allied subjects viz.
Commerce, Statistics, Mathematics, Engineering or any of the Social Sciences subjects.</v>
      </c>
    </row>
    <row r="27" spans="1:7" ht="77.5">
      <c r="A27" s="51" t="str">
        <v>M.A.</v>
      </c>
      <c r="B27" s="43" t="str">
        <v>FINANCIAL ECONOMICS</v>
      </c>
      <c r="C27" s="51" t="str">
        <v>COQP10</v>
      </c>
      <c r="D27" s="51">
        <v>0</v>
      </c>
      <c r="E27" s="51" t="str">
        <v>CUET-PG</v>
      </c>
      <c r="F27" s="51" t="str">
        <v>2 Years</v>
      </c>
      <c r="G27" s="51" t="str">
        <v>A Bachelor’s degree in Economics with at least 50% marks in aggregate and at least 50% marks in Economics; OR Bachelor’s degree with at least 60% marks in any of the allied subjects viz.
Commerce, Statistics, Mathematics, Engineering or any of the Social Sciences subjects like History, Political Science, Sociology, Anthropology. AND
Mathematics at + 2 Level</v>
      </c>
    </row>
    <row r="28" spans="1:7" ht="31">
      <c r="A28" s="51" t="str">
        <v>M.A.</v>
      </c>
      <c r="B28" s="43" t="str">
        <v>ANTHROPOLOGY</v>
      </c>
      <c r="C28" s="51" t="str">
        <v>COQP11</v>
      </c>
      <c r="D28" s="51">
        <v>0</v>
      </c>
      <c r="E28" s="51" t="str">
        <v>CUET-PG</v>
      </c>
      <c r="F28" s="51" t="str">
        <v>2 Years</v>
      </c>
      <c r="G28" s="51" t="str">
        <v>At least 50% marks in the
Bachelor’s degree.</v>
      </c>
    </row>
    <row r="29" spans="1:7" ht="31">
      <c r="A29" s="51" t="str">
        <v>M.A.</v>
      </c>
      <c r="B29" s="43" t="str">
        <v>COMMUNICATION (MEDIA STUDIES)</v>
      </c>
      <c r="C29" s="51" t="str">
        <v>COQP17</v>
      </c>
      <c r="D29" s="51">
        <v>0</v>
      </c>
      <c r="E29" s="51" t="str">
        <v>CUET-PG</v>
      </c>
      <c r="F29" s="51" t="str">
        <v>2 Years</v>
      </c>
      <c r="G29" s="51" t="str">
        <v>Graduate in any degree with a minimum of 55% marks</v>
      </c>
    </row>
    <row r="30" spans="1:7" ht="31">
      <c r="A30" s="51" t="str">
        <v>M.A.</v>
      </c>
      <c r="B30" s="43" t="str">
        <v>COMMUNICATION (MEDIA PRATICE)</v>
      </c>
      <c r="C30" s="51" t="str">
        <v>COQP17</v>
      </c>
      <c r="D30" s="51">
        <v>0</v>
      </c>
      <c r="E30" s="51" t="str">
        <v>CUET-PG</v>
      </c>
      <c r="F30" s="51" t="str">
        <v>2 Years</v>
      </c>
      <c r="G30" s="51" t="str">
        <v>Graduate in any degree with a minimum of 55% marks</v>
      </c>
    </row>
    <row r="31" spans="1:7" ht="77.5">
      <c r="A31" s="51" t="str">
        <v>M.A.</v>
      </c>
      <c r="B31" s="43" t="str">
        <v>HISTORY</v>
      </c>
      <c r="C31" s="51" t="str">
        <v>HUQP09</v>
      </c>
      <c r="D31" s="51">
        <v>0</v>
      </c>
      <c r="E31" s="51" t="str">
        <v>CUET-PG</v>
      </c>
      <c r="F31" s="51" t="str">
        <v>2 Years</v>
      </c>
      <c r="G31" s="51" t="str">
        <v>With at least 50% marks in the Bachelor's degree and at least 50% marks in History; OR with at least 50% marks in the Bachelor's degree and at least 55% marks in aggregate in the allied subjects viz. Political Science, Public Administration, Economics, Sociology, Anthropology, Indology, Archaeology, Ancient Indian History and Culture; OR Bachelor's degree in any subject(s) with at least 60% marks
in aggregate</v>
      </c>
    </row>
    <row r="32" spans="1:7" ht="15.5">
      <c r="A32" s="51" t="str">
        <v>M.A.</v>
      </c>
      <c r="B32" s="43" t="str">
        <v>PHILOSOPHY</v>
      </c>
      <c r="C32" s="51" t="str">
        <v>HUQP16</v>
      </c>
      <c r="D32" s="51">
        <v>0</v>
      </c>
      <c r="E32" s="51" t="str">
        <v>CUET-PG</v>
      </c>
      <c r="F32" s="51" t="str">
        <v>2 Years</v>
      </c>
      <c r="G32" s="51" t="str">
        <v>Bachelor's degree in any subject(s) with at least 50% marks in aggregate.</v>
      </c>
    </row>
    <row r="33" spans="1:7" ht="31">
      <c r="A33" s="51" t="str">
        <v>M.A.</v>
      </c>
      <c r="B33" s="43" t="str">
        <v>POLITICAL SCIENCE</v>
      </c>
      <c r="C33" s="51" t="str">
        <v>HUQP18</v>
      </c>
      <c r="D33" s="51">
        <v>0</v>
      </c>
      <c r="E33" s="51" t="str">
        <v>CUET-PG</v>
      </c>
      <c r="F33" s="51" t="str">
        <v>2 Years</v>
      </c>
      <c r="G33" s="51" t="str">
        <v>Bachelor’s degree with at least 50% marks or Equivalent Grade in Social Sciences or Humanities subjects OR 55% marks in any other subject</v>
      </c>
    </row>
    <row r="34" spans="1:7" ht="62">
      <c r="A34" s="51" t="str">
        <v>M.A.</v>
      </c>
      <c r="B34" s="43" t="str">
        <v>SOCIOLOGY</v>
      </c>
      <c r="C34" s="51" t="str">
        <v>HUQP22</v>
      </c>
      <c r="D34" s="51">
        <v>0</v>
      </c>
      <c r="E34" s="51" t="str">
        <v>CUET-PG</v>
      </c>
      <c r="F34" s="51" t="str">
        <v>2 Years</v>
      </c>
      <c r="G34" s="51" t="str">
        <v>With at least 50% marks in the Bachelor’s degree and at least 50% marks in the subject concerned OR with at least 50% marks in aggregate in the allied subjects viz., all Social science subjects, Philosophy, Communication, Linguistics; OR Bachelor’s degree in any subject
(s) with 60% marks in aggregate.</v>
      </c>
    </row>
    <row r="35" spans="1:7" ht="31">
      <c r="A35" s="51" t="str">
        <v>M.A.</v>
      </c>
      <c r="B35" s="43" t="str">
        <v>ENGLISH</v>
      </c>
      <c r="C35" s="51" t="str">
        <v>LAQP01</v>
      </c>
      <c r="D35" s="51">
        <v>0</v>
      </c>
      <c r="E35" s="51" t="str">
        <v>CUET-PG</v>
      </c>
      <c r="F35" s="51" t="str">
        <v>2 Years</v>
      </c>
      <c r="G35" s="51" t="str">
        <v>At least 50% marks in the Bachelor's degree with at least 50% marks in English as optional subject; OR at least 50% marks in the Bachelor's degree with at least 55% marks in English as a compulsory subject.</v>
      </c>
    </row>
    <row r="36" spans="1:7" ht="46.5">
      <c r="A36" s="51" t="str">
        <v>M.A.</v>
      </c>
      <c r="B36" s="43" t="str">
        <v>COMPARATIVE LITERATURE</v>
      </c>
      <c r="C36" s="51" t="str">
        <v>LAQP01</v>
      </c>
      <c r="D36" s="51">
        <v>0</v>
      </c>
      <c r="E36" s="51" t="str">
        <v>CUET-PG</v>
      </c>
      <c r="F36" s="51" t="str">
        <v>2 Years</v>
      </c>
      <c r="G36" s="51" t="str">
        <v>At least 50% marks or an
equivalent grade in any Bachelor’s degree with 50% marks or an equivalent grade in English as compulsory or optional subject.</v>
      </c>
    </row>
    <row r="37" spans="1:7" ht="31">
      <c r="A37" s="51" t="str">
        <v>M.A.</v>
      </c>
      <c r="B37" s="43" t="str">
        <v>ENGLISH LANGUAGE STUDIES</v>
      </c>
      <c r="C37" s="51" t="str">
        <v>LAQP01</v>
      </c>
      <c r="D37" s="51">
        <v>0</v>
      </c>
      <c r="E37" s="51" t="str">
        <v>CUET-PG</v>
      </c>
      <c r="F37" s="51" t="str">
        <v>2 Years</v>
      </c>
      <c r="G37" s="51" t="str">
        <v>Graduates from any discipline with at least 50% marks (with English as a subject in High School, Intermediate and at least one year in the Graduate program, with at least 55% marks in English).</v>
      </c>
    </row>
    <row r="38" spans="1:7" ht="77.5">
      <c r="A38" s="51" t="str">
        <v>M.A.</v>
      </c>
      <c r="B38" s="43" t="str">
        <v>HINDI</v>
      </c>
      <c r="C38" s="51" t="str">
        <v>LAQP02</v>
      </c>
      <c r="D38" s="51">
        <v>0</v>
      </c>
      <c r="E38" s="51" t="str">
        <v>CUET-PG</v>
      </c>
      <c r="F38" s="51" t="str">
        <v>2 Years</v>
      </c>
      <c r="G38" s="51" t="str">
        <v>A Bachelor’s degree with 50% marks in any subject with Hindi as one of the optional subjects/compulsory subjects/or second language. Or, A Bachelor’s degree with 50% marks in any subject with an oriental title examination of B.A. standard approved by the Government of India or any State Government,
like ‘Praveen’ and ‘Sahitya Ratna’ or any other title recognized thereof.</v>
      </c>
    </row>
    <row r="39" spans="1:7" ht="62">
      <c r="A39" s="51" t="str">
        <v>M.A.</v>
      </c>
      <c r="B39" s="43" t="str">
        <v>SANSKRIT STUDIES</v>
      </c>
      <c r="C39" s="51" t="str">
        <v>LAQP03</v>
      </c>
      <c r="D39" s="51">
        <v>0</v>
      </c>
      <c r="E39" s="51" t="str">
        <v>CUET-PG</v>
      </c>
      <c r="F39" s="51" t="str">
        <v>2 Years</v>
      </c>
      <c r="G39" s="51" t="str">
        <v>B.A. in Sanskrit/Shastri/ Vidwanmadhyama/ Acharya OR Graduate from any discipline with Sanskrit as a subject at High School/Higher Secondary/College levels OR Graduate from any discipline with a certificate or PG Diploma in Sanskrit Note: Admission is confirmed only upon submitting an SOP before attending a personal interview</v>
      </c>
    </row>
    <row r="40" spans="1:7" ht="46.5">
      <c r="A40" s="51" t="str">
        <v>M.A.</v>
      </c>
      <c r="B40" s="43" t="str">
        <v>APPLIED LINGUISTICS</v>
      </c>
      <c r="C40" s="51" t="str">
        <v>LAQP04</v>
      </c>
      <c r="D40" s="51">
        <v>0</v>
      </c>
      <c r="E40" s="51" t="str">
        <v>CUET-PG</v>
      </c>
      <c r="F40" s="51" t="str">
        <v>2 Years</v>
      </c>
      <c r="G40" s="51" t="str">
        <v>At least 50% marks or an
equivalent grade in any Bachelor’s degree (10 + 2 + 3 pattern) in aggregate with 50% marks in English as a compulsory or optional subject.</v>
      </c>
    </row>
    <row r="41" spans="1:7" ht="31">
      <c r="A41" s="51" t="str">
        <v>M.A.</v>
      </c>
      <c r="B41" s="43" t="str">
        <v>TELUGU</v>
      </c>
      <c r="C41" s="51" t="str">
        <v>LAQP36</v>
      </c>
      <c r="D41" s="51">
        <v>0</v>
      </c>
      <c r="E41" s="51" t="str">
        <v>CUET-PG</v>
      </c>
      <c r="F41" s="51" t="str">
        <v>2 Years</v>
      </c>
      <c r="G41" s="51" t="str">
        <v>With at least 50% marks in the bachelor's degree and 50% marks in Telugu either as an optional subject or compulsory subject.</v>
      </c>
    </row>
    <row r="42" spans="1:7" ht="62">
      <c r="A42" s="51" t="str">
        <v>M.A.</v>
      </c>
      <c r="B42" s="43" t="str">
        <v>URDU</v>
      </c>
      <c r="C42" s="51" t="str">
        <v>LAQP37</v>
      </c>
      <c r="D42" s="51">
        <v>0</v>
      </c>
      <c r="E42" s="51" t="str">
        <v>CUET-PG</v>
      </c>
      <c r="F42" s="51" t="str">
        <v>2 Years</v>
      </c>
      <c r="G42" s="51" t="str">
        <v>With at least 50% marks in the Bachelor degree or equivalent with at least 50% marks in Urdu,
Persian or Arabic as optional
papers; OR Bachelor’s degree or equivalent with at least 55% marks in Urdu, Persian or Arabic as a Compulsory subject i.e. as a second language</v>
      </c>
    </row>
    <row r="43" spans="1:7" ht="46.5">
      <c r="A43" s="51" t="str">
        <v>M.Sc.</v>
      </c>
      <c r="B43" s="43" t="str">
        <v>NEURAL &amp; COGNITIVE SCIENCES</v>
      </c>
      <c r="C43" s="51" t="str">
        <v>COQP12</v>
      </c>
      <c r="D43" s="51">
        <v>0</v>
      </c>
      <c r="E43" s="51" t="str">
        <v>CUET-PG</v>
      </c>
      <c r="F43" s="51" t="str">
        <v>2 Years</v>
      </c>
      <c r="G43" s="51" t="str">
        <v>Minimum prerequisite is
Bachelor’s degree with a minimum of 55% marks in any branch of Natural Sciences, Mathematics, Engineering and Computer Science; Social sciences, Humanities, MBBS</v>
      </c>
    </row>
    <row r="44" spans="1:7" ht="15.5">
      <c r="A44" s="51" t="str">
        <v>M.Sc.</v>
      </c>
      <c r="B44" s="43" t="str">
        <v>HEALTH PSYCHOLOGY</v>
      </c>
      <c r="C44" s="51" t="str">
        <v>HUQP20</v>
      </c>
      <c r="D44" s="51">
        <v>0</v>
      </c>
      <c r="E44" s="51" t="str">
        <v>CUET-PG</v>
      </c>
      <c r="F44" s="51" t="str">
        <v>2 Years</v>
      </c>
      <c r="G44" s="51" t="str">
        <v>With a minimum of 60% marks at the Graduate level with Psychology as one of the subjects for 3 years</v>
      </c>
    </row>
    <row r="45" spans="1:7" ht="77.5">
      <c r="A45" s="51" t="str">
        <v>M.Sc.</v>
      </c>
      <c r="B45" s="43" t="str">
        <v>CHEMISTRY</v>
      </c>
      <c r="C45" s="51" t="str">
        <v>SCQP08</v>
      </c>
      <c r="D45" s="51">
        <v>0</v>
      </c>
      <c r="E45" s="51" t="str">
        <v>CUET-PG</v>
      </c>
      <c r="F45" s="51" t="str">
        <v>2 Years</v>
      </c>
      <c r="G45" s="51" t="str">
        <v>B.Sc. with a minimum of 60% marks in the aggregate of Science subjects with Chemistry as one of the subjects, preferably in combination with Physics and Mathematics. NOTE: Candidates admitted to M.Sc. Chemistry should be able to conduct their experiments on their own. There will be no provision for allowing any assistance or scribe to do the
experiments.</v>
      </c>
    </row>
    <row r="46" spans="1:7" ht="77.5">
      <c r="A46" s="51" t="str">
        <v>M.Sc.</v>
      </c>
      <c r="B46" s="43" t="str">
        <v>PLANT BIOLOGY &amp; BIOTECHNOLOGY</v>
      </c>
      <c r="C46" s="51" t="str">
        <v>SCQP17</v>
      </c>
      <c r="D46" s="51">
        <v>0</v>
      </c>
      <c r="E46" s="51" t="str">
        <v>CUET-PG</v>
      </c>
      <c r="F46" s="51" t="str">
        <v>2 Years</v>
      </c>
      <c r="G46" s="51" t="str">
        <v>B.Sc. with a minimum of 60% marks in aggregate of science subjects with Botany/Biochemistry/Chemistry, Microbiology, and Genetics subjects are eligible to apply for admission to M.Sc. Plant Biology and Biotechnology. Admissions to the program will be via the CUET (The Common University Entrance Test). The Department also admits international students following University guidelines.</v>
      </c>
    </row>
    <row r="47" spans="1:7" ht="93">
      <c r="A47" s="51" t="str">
        <v>M.P.A.</v>
      </c>
      <c r="B47" s="43" t="str">
        <v>DANCE ( KUCHIPUDI)</v>
      </c>
      <c r="C47" s="51" t="str">
        <v>HUQP05</v>
      </c>
      <c r="D47" s="51">
        <v>0</v>
      </c>
      <c r="E47" s="51" t="str">
        <v>CUET-PG</v>
      </c>
      <c r="F47" s="51" t="str">
        <v>2 Years</v>
      </c>
      <c r="G47" s="51" t="str">
        <v>Bachelor’s degree in dance with Kuchipudi (or) Bachelor’s degree in any subject with a professional diploma or certificate in dance (Kuchipudi) recognized by the
University (or) Bachelor’s degree in any subject with a certificate from a reputed Guru recognized by the University to the effect that the candidate has undergone training in Kuchipudi dance under him/her for a period not less than five years. (The experience/training certificate should be furnished along with the application)</v>
      </c>
    </row>
    <row r="48" spans="1:7" ht="139.5">
      <c r="A48" s="51" t="str">
        <v>M.P.A.</v>
      </c>
      <c r="B48" s="43" t="str">
        <v>DANCE ( BHARTANATYAM)</v>
      </c>
      <c r="C48" s="51" t="str">
        <v>HUQP05</v>
      </c>
      <c r="D48" s="51">
        <v>0</v>
      </c>
      <c r="E48" s="51" t="str">
        <v>CUET-PG</v>
      </c>
      <c r="F48" s="51" t="str">
        <v>2 Years</v>
      </c>
      <c r="G48" s="51" t="str">
        <v>Bachelor’s degree in dance with Bharatanatyam (or) Bachelor’s degree in any subject with a professional diploma or certificate in dance (Bharatanatyam) recognized by the University (or) Bachelor’s degree in any subject with a certificate from a reputed Guru recognized by the University to the effect that the candidate has undergone training in Bharatanatyam under him/her for a period not less than five years. (The experience/training certificate should be furnished along with the application) OR A candidate with 10+ 4 years fulltime diploma in Bharatanatyam from Kalakshetra Foundation, Chennai with one- year practical work experience in an institution; OR A candidate with 10 + 2 + 4 years full-time diploma in Bharatanatyam from
Kalakshetra Foundation, Chennai</v>
      </c>
    </row>
    <row r="49" spans="1:7" ht="108.5">
      <c r="A49" s="51" t="str">
        <v>M.V.A.</v>
      </c>
      <c r="B49" s="43" t="str">
        <v>PAINTING</v>
      </c>
      <c r="C49" s="51" t="str">
        <v>HUQP07</v>
      </c>
      <c r="D49" s="51">
        <v>0</v>
      </c>
      <c r="E49" s="51" t="str">
        <v>CUET-PG</v>
      </c>
      <c r="F49" s="51" t="str">
        <v>2 Years</v>
      </c>
      <c r="G49" s="51" t="str">
        <v>Bachelor's Degree in Fine Arts BFA/BVA or BA (Fine Arts).
Essential requirements at the time of application: i)Applicant must specify the stream (Painting/Print Making/Sculpture) on priority basis on which they wish to apply to the Department of Fine Arts.
Painting/Print Making/Sculpture
1………….. 2………….. 3………….. NOTE: In addition to the online application form submitted to the University of Hyderabad, each applicant must also send a soft copy of the online application along with 15 properly labeled digital images of recent works to snfa.entranceimages@uohyd.ac.in</v>
      </c>
    </row>
    <row r="50" spans="1:7" ht="108.5">
      <c r="A50" s="51" t="str">
        <v>M.V.A.</v>
      </c>
      <c r="B50" s="43" t="str">
        <v>PRINTMAKING</v>
      </c>
      <c r="C50" s="51" t="str">
        <v>HUQP07</v>
      </c>
      <c r="D50" s="51">
        <v>0</v>
      </c>
      <c r="E50" s="51" t="str">
        <v>CUET-PG</v>
      </c>
      <c r="F50" s="51" t="str">
        <v>2 Years</v>
      </c>
      <c r="G50" s="51" t="str">
        <v>Bachelor's Degree in Fine Arts BFA/BVA or BA (Fine Arts).
Essential requirements at the time of application: i)Applicant must specify the stream (Painting/Print Making/Sculpture) on priority basis on which they wish to apply to the Department of Fine Arts.
Painting/Print Making/Sculpture
1………….. 2………….. 3………….. NOTE: In addition to the online application form submitted to the University of Hyderabad, each applicant must also send a soft copy of the online application along with 15 properly labeled digital images of recent works to snfa.entranceimages@uohyd.ac.in</v>
      </c>
    </row>
    <row r="51" spans="1:7" ht="108.5">
      <c r="A51" s="51" t="str">
        <v>M.V.A.</v>
      </c>
      <c r="B51" s="43" t="str">
        <v>SCULPTURE</v>
      </c>
      <c r="C51" s="51" t="str">
        <v>HUQP07</v>
      </c>
      <c r="D51" s="51">
        <v>0</v>
      </c>
      <c r="E51" s="51" t="str">
        <v>CUET-PG</v>
      </c>
      <c r="F51" s="51" t="str">
        <v>2 Years</v>
      </c>
      <c r="G51" s="51" t="str">
        <v>Bachelor's Degree in Fine Arts BFA/BVA or BA (Fine Arts).
Essential requirements at the time of application: i)Applicant must specify the stream (Painting/Print Making/Sculpture) on priority basis on which they wish to apply to the Department of Fine Arts.
Painting/Print Making/Sculpture
1………….. 2………….. 3………….. NOTE: In addition to the online application form submitted to the University of Hyderabad, each applicant must also send a soft copy of the online application along with 15 properly labeled digital images of recent works to snfa.entranceimages@uohyd.ac.in</v>
      </c>
    </row>
    <row r="52" spans="1:7" ht="108.5">
      <c r="A52" s="51" t="str">
        <v>M.V.A.</v>
      </c>
      <c r="B52" s="43" t="str">
        <v>ART HISTORY &amp; VISUAL STUDIES</v>
      </c>
      <c r="C52" s="51" t="str">
        <v>HUQP10</v>
      </c>
      <c r="D52" s="51">
        <v>0</v>
      </c>
      <c r="E52" s="51" t="str">
        <v>CUET-PG</v>
      </c>
      <c r="F52" s="51" t="str">
        <v>2 Years</v>
      </c>
      <c r="G52" s="51" t="str">
        <v>Bachelor Degree in Fine Arts: BFA, BVA or BA (Fine Arts). Candidates from related disciplines like Social Sciences, Sciences, Arts and Humanities may also be considered provided they demonstrate evidence of aptitude in Art History, capacity to read visual images and demonstrate adequate knowledge of contemporary artistic practices.
Students must provide evidence of training or practice in visual arts at the time of the oral interview by bringing sketchbooks, art works or
photographs of their original art works</v>
      </c>
    </row>
    <row r="53" spans="1:7" ht="15.5">
      <c r="A53" s="51"/>
      <c r="B53" s="43"/>
      <c r="C53" s="51"/>
      <c r="D53" s="51"/>
      <c r="E53" s="51"/>
      <c r="F53" s="51"/>
      <c r="G53" s="51"/>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B3E29-16A2-4ED2-AB62-644C613FC410}">
  <sheetPr codeName="Sheet2"/>
  <dimension ref="A1:E43"/>
  <sheetViews>
    <sheetView topLeftCell="B1" zoomScale="43" zoomScaleNormal="79" workbookViewId="0">
      <selection activeCell="A2" sqref="A2"/>
    </sheetView>
  </sheetViews>
  <sheetFormatPr defaultColWidth="8.9140625" defaultRowHeight="46"/>
  <cols>
    <col min="1" max="1" width="114.08203125" style="5" bestFit="1" customWidth="1"/>
    <col min="2" max="2" width="97.75" style="5" bestFit="1" customWidth="1"/>
    <col min="3" max="3" width="50.9140625" style="5" bestFit="1" customWidth="1"/>
    <col min="4" max="4" width="60.4140625" style="5" bestFit="1" customWidth="1"/>
    <col min="5" max="5" width="56.08203125" style="5" bestFit="1" customWidth="1"/>
    <col min="6" max="6" width="137.9140625" style="5" bestFit="1" customWidth="1"/>
    <col min="7" max="16384" width="8.9140625" style="5"/>
  </cols>
  <sheetData>
    <row r="1" spans="1:5">
      <c r="A1" s="5" t="s">
        <v>14</v>
      </c>
      <c r="B1" s="5" t="s">
        <v>15</v>
      </c>
      <c r="C1" s="5" t="s">
        <v>16</v>
      </c>
      <c r="D1" s="5" t="s">
        <v>17</v>
      </c>
      <c r="E1" s="5" t="s">
        <v>18</v>
      </c>
    </row>
    <row r="2" spans="1:5">
      <c r="A2" s="5" t="s">
        <v>19</v>
      </c>
      <c r="B2" s="5" t="s">
        <v>20</v>
      </c>
      <c r="C2" s="5" t="s">
        <v>2</v>
      </c>
      <c r="D2" s="5" t="s">
        <v>21</v>
      </c>
      <c r="E2" s="5" t="s">
        <v>22</v>
      </c>
    </row>
    <row r="3" spans="1:5">
      <c r="A3" s="5" t="s">
        <v>23</v>
      </c>
      <c r="B3" s="5" t="s">
        <v>24</v>
      </c>
      <c r="C3" s="5" t="s">
        <v>25</v>
      </c>
      <c r="D3" s="5" t="s">
        <v>26</v>
      </c>
      <c r="E3" s="5" t="s">
        <v>27</v>
      </c>
    </row>
    <row r="4" spans="1:5">
      <c r="A4" s="5" t="s">
        <v>28</v>
      </c>
      <c r="B4" s="5" t="s">
        <v>29</v>
      </c>
      <c r="D4" s="5" t="s">
        <v>30</v>
      </c>
      <c r="E4" s="5" t="s">
        <v>31</v>
      </c>
    </row>
    <row r="5" spans="1:5">
      <c r="A5" s="5" t="s">
        <v>32</v>
      </c>
      <c r="B5" s="5" t="s">
        <v>10</v>
      </c>
      <c r="D5" s="5" t="s">
        <v>33</v>
      </c>
      <c r="E5" s="5" t="s">
        <v>34</v>
      </c>
    </row>
    <row r="6" spans="1:5">
      <c r="A6" s="5" t="s">
        <v>1</v>
      </c>
      <c r="B6" s="5" t="s">
        <v>35</v>
      </c>
      <c r="E6" s="5" t="s">
        <v>36</v>
      </c>
    </row>
    <row r="7" spans="1:5">
      <c r="A7" s="5" t="s">
        <v>37</v>
      </c>
      <c r="B7" s="5" t="s">
        <v>10</v>
      </c>
      <c r="E7" s="5" t="s">
        <v>38</v>
      </c>
    </row>
    <row r="8" spans="1:5">
      <c r="A8" s="5" t="s">
        <v>39</v>
      </c>
      <c r="B8" s="5" t="s">
        <v>40</v>
      </c>
      <c r="E8" s="5" t="s">
        <v>38</v>
      </c>
    </row>
    <row r="9" spans="1:5">
      <c r="A9" s="5" t="s">
        <v>41</v>
      </c>
      <c r="B9" s="5" t="s">
        <v>42</v>
      </c>
      <c r="E9" s="5" t="s">
        <v>43</v>
      </c>
    </row>
    <row r="10" spans="1:5">
      <c r="A10" s="5" t="s">
        <v>44</v>
      </c>
      <c r="E10" s="5" t="s">
        <v>45</v>
      </c>
    </row>
    <row r="11" spans="1:5">
      <c r="A11" s="5" t="s">
        <v>46</v>
      </c>
      <c r="E11" s="5" t="s">
        <v>47</v>
      </c>
    </row>
    <row r="12" spans="1:5">
      <c r="E12" s="5" t="s">
        <v>48</v>
      </c>
    </row>
    <row r="13" spans="1:5">
      <c r="E13" s="5" t="s">
        <v>49</v>
      </c>
    </row>
    <row r="14" spans="1:5">
      <c r="E14" s="5" t="s">
        <v>49</v>
      </c>
    </row>
    <row r="15" spans="1:5">
      <c r="E15" s="5" t="s">
        <v>49</v>
      </c>
    </row>
    <row r="16" spans="1:5">
      <c r="E16" s="5" t="s">
        <v>50</v>
      </c>
    </row>
    <row r="17" spans="5:5">
      <c r="E17" s="5" t="s">
        <v>51</v>
      </c>
    </row>
    <row r="18" spans="5:5">
      <c r="E18" s="5" t="s">
        <v>52</v>
      </c>
    </row>
    <row r="19" spans="5:5">
      <c r="E19" s="5" t="s">
        <v>53</v>
      </c>
    </row>
    <row r="20" spans="5:5">
      <c r="E20" s="5" t="s">
        <v>54</v>
      </c>
    </row>
    <row r="21" spans="5:5">
      <c r="E21" s="5" t="s">
        <v>55</v>
      </c>
    </row>
    <row r="22" spans="5:5">
      <c r="E22" s="5" t="s">
        <v>56</v>
      </c>
    </row>
    <row r="23" spans="5:5">
      <c r="E23" s="5" t="s">
        <v>57</v>
      </c>
    </row>
    <row r="24" spans="5:5">
      <c r="E24" s="5" t="s">
        <v>58</v>
      </c>
    </row>
    <row r="25" spans="5:5">
      <c r="E25" s="5" t="s">
        <v>58</v>
      </c>
    </row>
    <row r="26" spans="5:5">
      <c r="E26" s="5" t="s">
        <v>58</v>
      </c>
    </row>
    <row r="27" spans="5:5">
      <c r="E27" s="5" t="s">
        <v>58</v>
      </c>
    </row>
    <row r="28" spans="5:5">
      <c r="E28" s="5" t="s">
        <v>59</v>
      </c>
    </row>
    <row r="29" spans="5:5">
      <c r="E29" s="5" t="s">
        <v>60</v>
      </c>
    </row>
    <row r="30" spans="5:5">
      <c r="E30" s="5" t="s">
        <v>61</v>
      </c>
    </row>
    <row r="31" spans="5:5">
      <c r="E31" s="5" t="s">
        <v>62</v>
      </c>
    </row>
    <row r="32" spans="5:5">
      <c r="E32" s="5" t="s">
        <v>63</v>
      </c>
    </row>
    <row r="33" spans="5:5">
      <c r="E33" s="5" t="s">
        <v>64</v>
      </c>
    </row>
    <row r="34" spans="5:5">
      <c r="E34" s="5" t="s">
        <v>64</v>
      </c>
    </row>
    <row r="35" spans="5:5">
      <c r="E35" s="5" t="s">
        <v>65</v>
      </c>
    </row>
    <row r="36" spans="5:5">
      <c r="E36" s="5" t="s">
        <v>66</v>
      </c>
    </row>
    <row r="37" spans="5:5">
      <c r="E37" s="5" t="s">
        <v>67</v>
      </c>
    </row>
    <row r="38" spans="5:5">
      <c r="E38" s="5" t="s">
        <v>67</v>
      </c>
    </row>
    <row r="39" spans="5:5">
      <c r="E39" s="5" t="s">
        <v>67</v>
      </c>
    </row>
    <row r="40" spans="5:5">
      <c r="E40" s="5" t="s">
        <v>68</v>
      </c>
    </row>
    <row r="41" spans="5:5">
      <c r="E41" s="6" t="s">
        <v>69</v>
      </c>
    </row>
    <row r="42" spans="5:5">
      <c r="E42" s="7" t="s">
        <v>70</v>
      </c>
    </row>
    <row r="43" spans="5:5">
      <c r="E43" s="8" t="s">
        <v>71</v>
      </c>
    </row>
  </sheetData>
  <phoneticPr fontId="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2704E-A89E-47AB-8E03-0D91E6B50113}">
  <sheetPr codeName="Sheet4"/>
  <dimension ref="A1:XFC80"/>
  <sheetViews>
    <sheetView topLeftCell="A21" zoomScale="75" zoomScaleNormal="68" workbookViewId="0">
      <selection activeCell="I24" sqref="I24"/>
    </sheetView>
  </sheetViews>
  <sheetFormatPr defaultColWidth="6.4140625" defaultRowHeight="15.5"/>
  <cols>
    <col min="1" max="1" width="9.08203125" style="1" customWidth="1"/>
    <col min="2" max="2" width="17.9140625" style="2" bestFit="1" customWidth="1"/>
    <col min="3" max="3" width="51.08203125" style="3" customWidth="1"/>
    <col min="4" max="4" width="47.08203125" style="2" hidden="1" customWidth="1"/>
    <col min="5" max="5" width="10.9140625" style="3" hidden="1" customWidth="1"/>
    <col min="6" max="6" width="28.08203125" style="2" hidden="1" customWidth="1"/>
    <col min="7" max="7" width="21.08203125" style="2" hidden="1" customWidth="1"/>
    <col min="8" max="8" width="64.25" style="2" hidden="1" customWidth="1"/>
    <col min="9" max="9" width="21.58203125" style="2" customWidth="1"/>
    <col min="10" max="10" width="13.9140625" style="3" customWidth="1"/>
    <col min="11" max="11" width="50.25" style="2" bestFit="1" customWidth="1"/>
    <col min="12" max="12" width="6.4140625" style="3"/>
    <col min="13" max="14" width="6.4140625" style="2"/>
    <col min="15" max="15" width="6.4140625" style="1"/>
    <col min="16" max="16" width="6.4140625" style="2"/>
    <col min="17" max="17" width="6.4140625" style="3"/>
    <col min="18" max="18" width="6.4140625" style="2"/>
    <col min="19" max="19" width="6.4140625" style="3"/>
    <col min="20" max="21" width="6.4140625" style="2"/>
    <col min="22" max="22" width="6.4140625" style="1"/>
    <col min="23" max="23" width="6.4140625" style="2"/>
    <col min="24" max="24" width="6.4140625" style="3"/>
    <col min="25" max="25" width="6.4140625" style="2"/>
    <col min="26" max="26" width="6.4140625" style="3"/>
    <col min="27" max="28" width="6.4140625" style="2"/>
    <col min="29" max="29" width="6.4140625" style="1"/>
    <col min="30" max="30" width="6.4140625" style="2"/>
    <col min="31" max="31" width="6.4140625" style="3"/>
    <col min="32" max="32" width="6.4140625" style="2"/>
    <col min="33" max="33" width="6.4140625" style="3"/>
    <col min="34" max="35" width="6.4140625" style="2"/>
    <col min="36" max="36" width="6.4140625" style="1"/>
    <col min="37" max="37" width="6.4140625" style="2"/>
    <col min="38" max="38" width="6.4140625" style="3"/>
    <col min="39" max="39" width="6.4140625" style="2"/>
    <col min="40" max="40" width="6.4140625" style="3"/>
    <col min="41" max="42" width="6.4140625" style="2"/>
    <col min="43" max="43" width="6.4140625" style="1"/>
    <col min="44" max="44" width="6.4140625" style="2"/>
    <col min="45" max="45" width="6.4140625" style="3"/>
    <col min="46" max="46" width="6.4140625" style="2"/>
    <col min="47" max="47" width="6.4140625" style="3"/>
    <col min="48" max="49" width="6.4140625" style="2"/>
    <col min="50" max="50" width="6.4140625" style="1"/>
    <col min="51" max="51" width="6.4140625" style="2"/>
    <col min="52" max="52" width="6.4140625" style="3"/>
    <col min="53" max="53" width="6.4140625" style="2"/>
    <col min="54" max="54" width="6.4140625" style="3"/>
    <col min="55" max="56" width="6.4140625" style="2"/>
    <col min="57" max="57" width="6.4140625" style="1"/>
    <col min="58" max="58" width="6.4140625" style="2"/>
    <col min="59" max="59" width="6.4140625" style="3"/>
    <col min="60" max="60" width="6.4140625" style="2"/>
    <col min="61" max="61" width="6.4140625" style="3"/>
    <col min="62" max="63" width="6.4140625" style="2"/>
    <col min="64" max="64" width="6.4140625" style="1"/>
    <col min="65" max="65" width="6.4140625" style="2"/>
    <col min="66" max="66" width="6.4140625" style="3"/>
    <col min="67" max="67" width="6.4140625" style="2"/>
    <col min="68" max="68" width="6.4140625" style="3"/>
    <col min="69" max="70" width="6.4140625" style="2"/>
    <col min="71" max="71" width="6.4140625" style="1"/>
    <col min="72" max="72" width="6.4140625" style="2"/>
    <col min="73" max="73" width="6.4140625" style="3"/>
    <col min="74" max="74" width="6.4140625" style="2"/>
    <col min="75" max="75" width="6.4140625" style="3"/>
    <col min="76" max="77" width="6.4140625" style="2"/>
    <col min="78" max="78" width="6.4140625" style="1"/>
    <col min="79" max="79" width="6.4140625" style="2"/>
    <col min="80" max="80" width="6.4140625" style="3"/>
    <col min="81" max="81" width="6.4140625" style="2"/>
    <col min="82" max="82" width="6.4140625" style="3"/>
    <col min="83" max="84" width="6.4140625" style="2"/>
    <col min="85" max="85" width="6.4140625" style="1"/>
    <col min="86" max="86" width="6.4140625" style="2"/>
    <col min="87" max="87" width="6.4140625" style="3"/>
    <col min="88" max="88" width="6.4140625" style="2"/>
    <col min="89" max="89" width="6.4140625" style="3"/>
    <col min="90" max="91" width="6.4140625" style="2"/>
    <col min="92" max="92" width="6.4140625" style="1"/>
    <col min="93" max="93" width="6.4140625" style="2"/>
    <col min="94" max="94" width="6.4140625" style="3"/>
    <col min="95" max="95" width="6.4140625" style="2"/>
    <col min="96" max="96" width="6.4140625" style="3"/>
    <col min="97" max="98" width="6.4140625" style="2"/>
    <col min="99" max="99" width="6.4140625" style="1"/>
    <col min="100" max="100" width="6.4140625" style="2"/>
    <col min="101" max="101" width="6.4140625" style="3"/>
    <col min="102" max="102" width="6.4140625" style="2"/>
    <col min="103" max="103" width="6.4140625" style="3"/>
    <col min="104" max="105" width="6.4140625" style="2"/>
    <col min="106" max="106" width="6.4140625" style="1"/>
    <col min="107" max="107" width="6.4140625" style="2"/>
    <col min="108" max="108" width="6.4140625" style="3"/>
    <col min="109" max="109" width="6.4140625" style="2"/>
    <col min="110" max="110" width="6.4140625" style="3"/>
    <col min="111" max="112" width="6.4140625" style="2"/>
    <col min="113" max="113" width="6.4140625" style="1"/>
    <col min="114" max="114" width="6.4140625" style="2"/>
    <col min="115" max="115" width="6.4140625" style="3"/>
    <col min="116" max="116" width="6.4140625" style="2"/>
    <col min="117" max="117" width="6.4140625" style="3"/>
    <col min="118" max="119" width="6.4140625" style="2"/>
    <col min="120" max="120" width="6.4140625" style="1"/>
    <col min="121" max="121" width="6.4140625" style="2"/>
    <col min="122" max="122" width="6.4140625" style="3"/>
    <col min="123" max="123" width="6.4140625" style="2"/>
    <col min="124" max="124" width="6.4140625" style="3"/>
    <col min="125" max="126" width="6.4140625" style="2"/>
    <col min="127" max="127" width="6.4140625" style="1"/>
    <col min="128" max="128" width="6.4140625" style="2"/>
    <col min="129" max="129" width="6.4140625" style="3"/>
    <col min="130" max="130" width="6.4140625" style="2"/>
    <col min="131" max="131" width="6.4140625" style="3"/>
    <col min="132" max="133" width="6.4140625" style="2"/>
    <col min="134" max="134" width="6.4140625" style="1"/>
    <col min="135" max="135" width="6.4140625" style="2"/>
    <col min="136" max="136" width="6.4140625" style="3"/>
    <col min="137" max="137" width="6.4140625" style="2"/>
    <col min="138" max="138" width="6.4140625" style="3"/>
    <col min="139" max="140" width="6.4140625" style="2"/>
    <col min="141" max="141" width="6.4140625" style="1"/>
    <col min="142" max="142" width="6.4140625" style="2"/>
    <col min="143" max="143" width="6.4140625" style="3"/>
    <col min="144" max="144" width="6.4140625" style="2"/>
    <col min="145" max="145" width="6.4140625" style="3"/>
    <col min="146" max="147" width="6.4140625" style="2"/>
    <col min="148" max="148" width="6.4140625" style="1"/>
    <col min="149" max="149" width="6.4140625" style="2"/>
    <col min="150" max="150" width="6.4140625" style="3"/>
    <col min="151" max="151" width="6.4140625" style="2"/>
    <col min="152" max="152" width="6.4140625" style="3"/>
    <col min="153" max="154" width="6.4140625" style="2"/>
    <col min="155" max="155" width="6.4140625" style="1"/>
    <col min="156" max="156" width="6.4140625" style="2"/>
    <col min="157" max="157" width="6.4140625" style="3"/>
    <col min="158" max="158" width="6.4140625" style="2"/>
    <col min="159" max="159" width="6.4140625" style="3"/>
    <col min="160" max="161" width="6.4140625" style="2"/>
    <col min="162" max="162" width="6.4140625" style="1"/>
    <col min="163" max="163" width="6.4140625" style="2"/>
    <col min="164" max="164" width="6.4140625" style="3"/>
    <col min="165" max="165" width="6.4140625" style="2"/>
    <col min="166" max="166" width="6.4140625" style="3"/>
    <col min="167" max="168" width="6.4140625" style="2"/>
    <col min="169" max="169" width="6.4140625" style="1"/>
    <col min="170" max="170" width="6.4140625" style="2"/>
    <col min="171" max="171" width="6.4140625" style="3"/>
    <col min="172" max="172" width="6.4140625" style="2"/>
    <col min="173" max="173" width="6.4140625" style="3"/>
    <col min="174" max="175" width="6.4140625" style="2"/>
    <col min="176" max="176" width="6.4140625" style="1"/>
    <col min="177" max="177" width="6.4140625" style="2"/>
    <col min="178" max="178" width="6.4140625" style="3"/>
    <col min="179" max="179" width="6.4140625" style="2"/>
    <col min="180" max="180" width="6.4140625" style="3"/>
    <col min="181" max="182" width="6.4140625" style="2"/>
    <col min="183" max="183" width="6.4140625" style="1"/>
    <col min="184" max="184" width="6.4140625" style="2"/>
    <col min="185" max="185" width="6.4140625" style="3"/>
    <col min="186" max="186" width="6.4140625" style="2"/>
    <col min="187" max="187" width="6.4140625" style="3"/>
    <col min="188" max="189" width="6.4140625" style="2"/>
    <col min="190" max="190" width="6.4140625" style="1"/>
    <col min="191" max="191" width="6.4140625" style="2"/>
    <col min="192" max="192" width="6.4140625" style="3"/>
    <col min="193" max="193" width="6.4140625" style="2"/>
    <col min="194" max="194" width="6.4140625" style="3"/>
    <col min="195" max="196" width="6.4140625" style="2"/>
    <col min="197" max="197" width="6.4140625" style="1"/>
    <col min="198" max="198" width="6.4140625" style="2"/>
    <col min="199" max="199" width="6.4140625" style="3"/>
    <col min="200" max="200" width="6.4140625" style="2"/>
    <col min="201" max="201" width="6.4140625" style="3"/>
    <col min="202" max="203" width="6.4140625" style="2"/>
    <col min="204" max="204" width="6.4140625" style="1"/>
    <col min="205" max="205" width="6.4140625" style="2"/>
    <col min="206" max="206" width="6.4140625" style="3"/>
    <col min="207" max="207" width="6.4140625" style="2"/>
    <col min="208" max="208" width="6.4140625" style="3"/>
    <col min="209" max="210" width="6.4140625" style="2"/>
    <col min="211" max="211" width="6.4140625" style="1"/>
    <col min="212" max="212" width="6.4140625" style="2"/>
    <col min="213" max="213" width="6.4140625" style="3"/>
    <col min="214" max="214" width="6.4140625" style="2"/>
    <col min="215" max="215" width="6.4140625" style="3"/>
    <col min="216" max="217" width="6.4140625" style="2"/>
    <col min="218" max="218" width="6.4140625" style="1"/>
    <col min="219" max="219" width="6.4140625" style="2"/>
    <col min="220" max="220" width="6.4140625" style="3"/>
    <col min="221" max="221" width="6.4140625" style="2"/>
    <col min="222" max="222" width="6.4140625" style="3"/>
    <col min="223" max="224" width="6.4140625" style="2"/>
    <col min="225" max="225" width="6.4140625" style="1"/>
    <col min="226" max="226" width="6.4140625" style="2"/>
    <col min="227" max="227" width="6.4140625" style="3"/>
    <col min="228" max="228" width="6.4140625" style="2"/>
    <col min="229" max="229" width="6.4140625" style="3"/>
    <col min="230" max="231" width="6.4140625" style="2"/>
    <col min="232" max="232" width="6.4140625" style="1"/>
    <col min="233" max="233" width="6.4140625" style="2"/>
    <col min="234" max="234" width="6.4140625" style="3"/>
    <col min="235" max="235" width="6.4140625" style="2"/>
    <col min="236" max="236" width="6.4140625" style="3"/>
    <col min="237" max="238" width="6.4140625" style="2"/>
    <col min="239" max="239" width="6.4140625" style="1"/>
    <col min="240" max="240" width="6.4140625" style="2"/>
    <col min="241" max="241" width="6.4140625" style="3"/>
    <col min="242" max="242" width="6.4140625" style="2"/>
    <col min="243" max="243" width="6.4140625" style="3"/>
    <col min="244" max="245" width="6.4140625" style="2"/>
    <col min="246" max="246" width="6.4140625" style="1"/>
    <col min="247" max="247" width="6.4140625" style="2"/>
    <col min="248" max="248" width="6.4140625" style="3"/>
    <col min="249" max="249" width="6.4140625" style="2"/>
    <col min="250" max="250" width="6.4140625" style="3"/>
    <col min="251" max="252" width="6.4140625" style="2"/>
    <col min="253" max="253" width="6.4140625" style="1"/>
    <col min="254" max="254" width="6.4140625" style="2"/>
    <col min="255" max="255" width="6.4140625" style="3"/>
    <col min="256" max="256" width="6.4140625" style="2"/>
    <col min="257" max="257" width="6.4140625" style="3"/>
    <col min="258" max="259" width="6.4140625" style="2"/>
    <col min="260" max="260" width="6.4140625" style="1"/>
    <col min="261" max="261" width="6.4140625" style="2"/>
    <col min="262" max="262" width="6.4140625" style="3"/>
    <col min="263" max="263" width="6.4140625" style="2"/>
    <col min="264" max="264" width="6.4140625" style="3"/>
    <col min="265" max="266" width="6.4140625" style="2"/>
    <col min="267" max="267" width="6.4140625" style="1"/>
    <col min="268" max="268" width="6.4140625" style="2"/>
    <col min="269" max="269" width="6.4140625" style="3"/>
    <col min="270" max="270" width="6.4140625" style="2"/>
    <col min="271" max="271" width="6.4140625" style="3"/>
    <col min="272" max="273" width="6.4140625" style="2"/>
    <col min="274" max="274" width="6.4140625" style="1"/>
    <col min="275" max="275" width="6.4140625" style="2"/>
    <col min="276" max="276" width="6.4140625" style="3"/>
    <col min="277" max="277" width="6.4140625" style="2"/>
    <col min="278" max="278" width="6.4140625" style="3"/>
    <col min="279" max="280" width="6.4140625" style="2"/>
    <col min="281" max="281" width="6.4140625" style="1"/>
    <col min="282" max="282" width="6.4140625" style="2"/>
    <col min="283" max="283" width="6.4140625" style="3"/>
    <col min="284" max="284" width="6.4140625" style="2"/>
    <col min="285" max="285" width="6.4140625" style="3"/>
    <col min="286" max="287" width="6.4140625" style="2"/>
    <col min="288" max="288" width="6.4140625" style="1"/>
    <col min="289" max="289" width="6.4140625" style="2"/>
    <col min="290" max="290" width="6.4140625" style="3"/>
    <col min="291" max="291" width="6.4140625" style="2"/>
    <col min="292" max="292" width="6.4140625" style="3"/>
    <col min="293" max="294" width="6.4140625" style="2"/>
    <col min="295" max="295" width="6.4140625" style="1"/>
    <col min="296" max="296" width="6.4140625" style="2"/>
    <col min="297" max="297" width="6.4140625" style="3"/>
    <col min="298" max="298" width="6.4140625" style="2"/>
    <col min="299" max="299" width="6.4140625" style="3"/>
    <col min="300" max="301" width="6.4140625" style="2"/>
    <col min="302" max="302" width="6.4140625" style="1"/>
    <col min="303" max="303" width="6.4140625" style="2"/>
    <col min="304" max="304" width="6.4140625" style="3"/>
    <col min="305" max="305" width="6.4140625" style="2"/>
    <col min="306" max="306" width="6.4140625" style="3"/>
    <col min="307" max="308" width="6.4140625" style="2"/>
    <col min="309" max="309" width="6.4140625" style="1"/>
    <col min="310" max="310" width="6.4140625" style="2"/>
    <col min="311" max="311" width="6.4140625" style="3"/>
    <col min="312" max="312" width="6.4140625" style="2"/>
    <col min="313" max="313" width="6.4140625" style="3"/>
    <col min="314" max="315" width="6.4140625" style="2"/>
    <col min="316" max="316" width="6.4140625" style="1"/>
    <col min="317" max="317" width="6.4140625" style="2"/>
    <col min="318" max="318" width="6.4140625" style="3"/>
    <col min="319" max="319" width="6.4140625" style="2"/>
    <col min="320" max="320" width="6.4140625" style="3"/>
    <col min="321" max="322" width="6.4140625" style="2"/>
    <col min="323" max="323" width="6.4140625" style="1"/>
    <col min="324" max="324" width="6.4140625" style="2"/>
    <col min="325" max="325" width="6.4140625" style="3"/>
    <col min="326" max="326" width="6.4140625" style="2"/>
    <col min="327" max="327" width="6.4140625" style="3"/>
    <col min="328" max="329" width="6.4140625" style="2"/>
    <col min="330" max="330" width="6.4140625" style="1"/>
    <col min="331" max="331" width="6.4140625" style="2"/>
    <col min="332" max="332" width="6.4140625" style="3"/>
    <col min="333" max="333" width="6.4140625" style="2"/>
    <col min="334" max="334" width="6.4140625" style="3"/>
    <col min="335" max="336" width="6.4140625" style="2"/>
    <col min="337" max="337" width="6.4140625" style="1"/>
    <col min="338" max="338" width="6.4140625" style="2"/>
    <col min="339" max="339" width="6.4140625" style="3"/>
    <col min="340" max="340" width="6.4140625" style="2"/>
    <col min="341" max="341" width="6.4140625" style="3"/>
    <col min="342" max="343" width="6.4140625" style="2"/>
    <col min="344" max="344" width="6.4140625" style="1"/>
    <col min="345" max="345" width="6.4140625" style="2"/>
    <col min="346" max="346" width="6.4140625" style="3"/>
    <col min="347" max="347" width="6.4140625" style="2"/>
    <col min="348" max="348" width="6.4140625" style="3"/>
    <col min="349" max="350" width="6.4140625" style="2"/>
    <col min="351" max="351" width="6.4140625" style="1"/>
    <col min="352" max="352" width="6.4140625" style="2"/>
    <col min="353" max="353" width="6.4140625" style="3"/>
    <col min="354" max="354" width="6.4140625" style="2"/>
    <col min="355" max="355" width="6.4140625" style="3"/>
    <col min="356" max="357" width="6.4140625" style="2"/>
    <col min="358" max="358" width="6.4140625" style="1"/>
    <col min="359" max="359" width="6.4140625" style="2"/>
    <col min="360" max="360" width="6.4140625" style="3"/>
    <col min="361" max="361" width="6.4140625" style="2"/>
    <col min="362" max="362" width="6.4140625" style="3"/>
    <col min="363" max="364" width="6.4140625" style="2"/>
    <col min="365" max="365" width="6.4140625" style="1"/>
    <col min="366" max="366" width="6.4140625" style="2"/>
    <col min="367" max="367" width="6.4140625" style="3"/>
    <col min="368" max="368" width="6.4140625" style="2"/>
    <col min="369" max="369" width="6.4140625" style="3"/>
    <col min="370" max="371" width="6.4140625" style="2"/>
    <col min="372" max="372" width="6.4140625" style="1"/>
    <col min="373" max="373" width="6.4140625" style="2"/>
    <col min="374" max="374" width="6.4140625" style="3"/>
    <col min="375" max="375" width="6.4140625" style="2"/>
    <col min="376" max="376" width="6.4140625" style="3"/>
    <col min="377" max="378" width="6.4140625" style="2"/>
    <col min="379" max="379" width="6.4140625" style="1"/>
    <col min="380" max="380" width="6.4140625" style="2"/>
    <col min="381" max="381" width="6.4140625" style="3"/>
    <col min="382" max="382" width="6.4140625" style="2"/>
    <col min="383" max="383" width="6.4140625" style="3"/>
    <col min="384" max="385" width="6.4140625" style="2"/>
    <col min="386" max="386" width="6.4140625" style="1"/>
    <col min="387" max="387" width="6.4140625" style="2"/>
    <col min="388" max="388" width="6.4140625" style="3"/>
    <col min="389" max="389" width="6.4140625" style="2"/>
    <col min="390" max="390" width="6.4140625" style="3"/>
    <col min="391" max="392" width="6.4140625" style="2"/>
    <col min="393" max="393" width="6.4140625" style="1"/>
    <col min="394" max="394" width="6.4140625" style="2"/>
    <col min="395" max="395" width="6.4140625" style="3"/>
    <col min="396" max="396" width="6.4140625" style="2"/>
    <col min="397" max="397" width="6.4140625" style="3"/>
    <col min="398" max="399" width="6.4140625" style="2"/>
    <col min="400" max="400" width="6.4140625" style="1"/>
    <col min="401" max="401" width="6.4140625" style="2"/>
    <col min="402" max="402" width="6.4140625" style="3"/>
    <col min="403" max="403" width="6.4140625" style="2"/>
    <col min="404" max="404" width="6.4140625" style="3"/>
    <col min="405" max="406" width="6.4140625" style="2"/>
    <col min="407" max="407" width="6.4140625" style="1"/>
    <col min="408" max="408" width="6.4140625" style="2"/>
    <col min="409" max="409" width="6.4140625" style="3"/>
    <col min="410" max="410" width="6.4140625" style="2"/>
    <col min="411" max="411" width="6.4140625" style="3"/>
    <col min="412" max="413" width="6.4140625" style="2"/>
    <col min="414" max="414" width="6.4140625" style="1"/>
    <col min="415" max="415" width="6.4140625" style="2"/>
    <col min="416" max="416" width="6.4140625" style="3"/>
    <col min="417" max="417" width="6.4140625" style="2"/>
    <col min="418" max="418" width="6.4140625" style="3"/>
    <col min="419" max="420" width="6.4140625" style="2"/>
    <col min="421" max="421" width="6.4140625" style="1"/>
    <col min="422" max="422" width="6.4140625" style="2"/>
    <col min="423" max="423" width="6.4140625" style="3"/>
    <col min="424" max="424" width="6.4140625" style="2"/>
    <col min="425" max="425" width="6.4140625" style="3"/>
    <col min="426" max="427" width="6.4140625" style="2"/>
    <col min="428" max="428" width="6.4140625" style="1"/>
    <col min="429" max="429" width="6.4140625" style="2"/>
    <col min="430" max="430" width="6.4140625" style="3"/>
    <col min="431" max="431" width="6.4140625" style="2"/>
    <col min="432" max="432" width="6.4140625" style="3"/>
    <col min="433" max="434" width="6.4140625" style="2"/>
    <col min="435" max="435" width="6.4140625" style="1"/>
    <col min="436" max="436" width="6.4140625" style="2"/>
    <col min="437" max="437" width="6.4140625" style="3"/>
    <col min="438" max="438" width="6.4140625" style="2"/>
    <col min="439" max="439" width="6.4140625" style="3"/>
    <col min="440" max="441" width="6.4140625" style="2"/>
    <col min="442" max="442" width="6.4140625" style="1"/>
    <col min="443" max="443" width="6.4140625" style="2"/>
    <col min="444" max="444" width="6.4140625" style="3"/>
    <col min="445" max="445" width="6.4140625" style="2"/>
    <col min="446" max="446" width="6.4140625" style="3"/>
    <col min="447" max="448" width="6.4140625" style="2"/>
    <col min="449" max="449" width="6.4140625" style="1"/>
    <col min="450" max="450" width="6.4140625" style="2"/>
    <col min="451" max="451" width="6.4140625" style="3"/>
    <col min="452" max="452" width="6.4140625" style="2"/>
    <col min="453" max="453" width="6.4140625" style="3"/>
    <col min="454" max="455" width="6.4140625" style="2"/>
    <col min="456" max="456" width="6.4140625" style="1"/>
    <col min="457" max="457" width="6.4140625" style="2"/>
    <col min="458" max="458" width="6.4140625" style="3"/>
    <col min="459" max="459" width="6.4140625" style="2"/>
    <col min="460" max="460" width="6.4140625" style="3"/>
    <col min="461" max="462" width="6.4140625" style="2"/>
    <col min="463" max="463" width="6.4140625" style="1"/>
    <col min="464" max="464" width="6.4140625" style="2"/>
    <col min="465" max="465" width="6.4140625" style="3"/>
    <col min="466" max="466" width="6.4140625" style="2"/>
    <col min="467" max="467" width="6.4140625" style="3"/>
    <col min="468" max="469" width="6.4140625" style="2"/>
    <col min="470" max="470" width="6.4140625" style="1"/>
    <col min="471" max="471" width="6.4140625" style="2"/>
    <col min="472" max="472" width="6.4140625" style="3"/>
    <col min="473" max="473" width="6.4140625" style="2"/>
    <col min="474" max="474" width="6.4140625" style="3"/>
    <col min="475" max="476" width="6.4140625" style="2"/>
    <col min="477" max="477" width="6.4140625" style="1"/>
    <col min="478" max="478" width="6.4140625" style="2"/>
    <col min="479" max="479" width="6.4140625" style="3"/>
    <col min="480" max="480" width="6.4140625" style="2"/>
    <col min="481" max="481" width="6.4140625" style="3"/>
    <col min="482" max="483" width="6.4140625" style="2"/>
    <col min="484" max="484" width="6.4140625" style="1"/>
    <col min="485" max="485" width="6.4140625" style="2"/>
    <col min="486" max="486" width="6.4140625" style="3"/>
    <col min="487" max="487" width="6.4140625" style="2"/>
    <col min="488" max="488" width="6.4140625" style="3"/>
    <col min="489" max="490" width="6.4140625" style="2"/>
    <col min="491" max="491" width="6.4140625" style="1"/>
    <col min="492" max="492" width="6.4140625" style="2"/>
    <col min="493" max="493" width="6.4140625" style="3"/>
    <col min="494" max="494" width="6.4140625" style="2"/>
    <col min="495" max="495" width="6.4140625" style="3"/>
    <col min="496" max="497" width="6.4140625" style="2"/>
    <col min="498" max="498" width="6.4140625" style="1"/>
    <col min="499" max="499" width="6.4140625" style="2"/>
    <col min="500" max="500" width="6.4140625" style="3"/>
    <col min="501" max="501" width="6.4140625" style="2"/>
    <col min="502" max="502" width="6.4140625" style="3"/>
    <col min="503" max="504" width="6.4140625" style="2"/>
    <col min="505" max="505" width="6.4140625" style="1"/>
    <col min="506" max="506" width="6.4140625" style="2"/>
    <col min="507" max="507" width="6.4140625" style="3"/>
    <col min="508" max="508" width="6.4140625" style="2"/>
    <col min="509" max="509" width="6.4140625" style="3"/>
    <col min="510" max="511" width="6.4140625" style="2"/>
    <col min="512" max="512" width="6.4140625" style="1"/>
    <col min="513" max="513" width="6.4140625" style="2"/>
    <col min="514" max="514" width="6.4140625" style="3"/>
    <col min="515" max="515" width="6.4140625" style="2"/>
    <col min="516" max="516" width="6.4140625" style="3"/>
    <col min="517" max="518" width="6.4140625" style="2"/>
    <col min="519" max="519" width="6.4140625" style="1"/>
    <col min="520" max="520" width="6.4140625" style="2"/>
    <col min="521" max="521" width="6.4140625" style="3"/>
    <col min="522" max="522" width="6.4140625" style="2"/>
    <col min="523" max="523" width="6.4140625" style="3"/>
    <col min="524" max="525" width="6.4140625" style="2"/>
    <col min="526" max="526" width="6.4140625" style="1"/>
    <col min="527" max="527" width="6.4140625" style="2"/>
    <col min="528" max="528" width="6.4140625" style="3"/>
    <col min="529" max="529" width="6.4140625" style="2"/>
    <col min="530" max="530" width="6.4140625" style="3"/>
    <col min="531" max="532" width="6.4140625" style="2"/>
    <col min="533" max="533" width="6.4140625" style="1"/>
    <col min="534" max="534" width="6.4140625" style="2"/>
    <col min="535" max="535" width="6.4140625" style="3"/>
    <col min="536" max="536" width="6.4140625" style="2"/>
    <col min="537" max="537" width="6.4140625" style="3"/>
    <col min="538" max="539" width="6.4140625" style="2"/>
    <col min="540" max="540" width="6.4140625" style="1"/>
    <col min="541" max="541" width="6.4140625" style="2"/>
    <col min="542" max="542" width="6.4140625" style="3"/>
    <col min="543" max="543" width="6.4140625" style="2"/>
    <col min="544" max="544" width="6.4140625" style="3"/>
    <col min="545" max="546" width="6.4140625" style="2"/>
    <col min="547" max="547" width="6.4140625" style="1"/>
    <col min="548" max="548" width="6.4140625" style="2"/>
    <col min="549" max="549" width="6.4140625" style="3"/>
    <col min="550" max="550" width="6.4140625" style="2"/>
    <col min="551" max="551" width="6.4140625" style="3"/>
    <col min="552" max="553" width="6.4140625" style="2"/>
    <col min="554" max="554" width="6.4140625" style="1"/>
    <col min="555" max="555" width="6.4140625" style="2"/>
    <col min="556" max="556" width="6.4140625" style="3"/>
    <col min="557" max="557" width="6.4140625" style="2"/>
    <col min="558" max="558" width="6.4140625" style="3"/>
    <col min="559" max="560" width="6.4140625" style="2"/>
    <col min="561" max="561" width="6.4140625" style="1"/>
    <col min="562" max="562" width="6.4140625" style="2"/>
    <col min="563" max="563" width="6.4140625" style="3"/>
    <col min="564" max="564" width="6.4140625" style="2"/>
    <col min="565" max="565" width="6.4140625" style="3"/>
    <col min="566" max="567" width="6.4140625" style="2"/>
    <col min="568" max="568" width="6.4140625" style="1"/>
    <col min="569" max="569" width="6.4140625" style="2"/>
    <col min="570" max="570" width="6.4140625" style="3"/>
    <col min="571" max="571" width="6.4140625" style="2"/>
    <col min="572" max="572" width="6.4140625" style="3"/>
    <col min="573" max="574" width="6.4140625" style="2"/>
    <col min="575" max="575" width="6.4140625" style="1"/>
    <col min="576" max="576" width="6.4140625" style="2"/>
    <col min="577" max="577" width="6.4140625" style="3"/>
    <col min="578" max="578" width="6.4140625" style="2"/>
    <col min="579" max="579" width="6.4140625" style="3"/>
    <col min="580" max="581" width="6.4140625" style="2"/>
    <col min="582" max="582" width="6.4140625" style="1"/>
    <col min="583" max="583" width="6.4140625" style="2"/>
    <col min="584" max="584" width="6.4140625" style="3"/>
    <col min="585" max="585" width="6.4140625" style="2"/>
    <col min="586" max="586" width="6.4140625" style="3"/>
    <col min="587" max="588" width="6.4140625" style="2"/>
    <col min="589" max="589" width="6.4140625" style="1"/>
    <col min="590" max="590" width="6.4140625" style="2"/>
    <col min="591" max="591" width="6.4140625" style="3"/>
    <col min="592" max="592" width="6.4140625" style="2"/>
    <col min="593" max="593" width="6.4140625" style="3"/>
    <col min="594" max="595" width="6.4140625" style="2"/>
    <col min="596" max="596" width="6.4140625" style="1"/>
    <col min="597" max="597" width="6.4140625" style="2"/>
    <col min="598" max="598" width="6.4140625" style="3"/>
    <col min="599" max="599" width="6.4140625" style="2"/>
    <col min="600" max="600" width="6.4140625" style="3"/>
    <col min="601" max="602" width="6.4140625" style="2"/>
    <col min="603" max="603" width="6.4140625" style="1"/>
    <col min="604" max="604" width="6.4140625" style="2"/>
    <col min="605" max="605" width="6.4140625" style="3"/>
    <col min="606" max="606" width="6.4140625" style="2"/>
    <col min="607" max="607" width="6.4140625" style="3"/>
    <col min="608" max="609" width="6.4140625" style="2"/>
    <col min="610" max="610" width="6.4140625" style="1"/>
    <col min="611" max="611" width="6.4140625" style="2"/>
    <col min="612" max="612" width="6.4140625" style="3"/>
    <col min="613" max="613" width="6.4140625" style="2"/>
    <col min="614" max="614" width="6.4140625" style="3"/>
    <col min="615" max="616" width="6.4140625" style="2"/>
    <col min="617" max="617" width="6.4140625" style="1"/>
    <col min="618" max="618" width="6.4140625" style="2"/>
    <col min="619" max="619" width="6.4140625" style="3"/>
    <col min="620" max="620" width="6.4140625" style="2"/>
    <col min="621" max="621" width="6.4140625" style="3"/>
    <col min="622" max="623" width="6.4140625" style="2"/>
    <col min="624" max="624" width="6.4140625" style="1"/>
    <col min="625" max="625" width="6.4140625" style="2"/>
    <col min="626" max="626" width="6.4140625" style="3"/>
    <col min="627" max="627" width="6.4140625" style="2"/>
    <col min="628" max="628" width="6.4140625" style="3"/>
    <col min="629" max="630" width="6.4140625" style="2"/>
    <col min="631" max="631" width="6.4140625" style="1"/>
    <col min="632" max="632" width="6.4140625" style="2"/>
    <col min="633" max="633" width="6.4140625" style="3"/>
    <col min="634" max="634" width="6.4140625" style="2"/>
    <col min="635" max="635" width="6.4140625" style="3"/>
    <col min="636" max="637" width="6.4140625" style="2"/>
    <col min="638" max="638" width="6.4140625" style="1"/>
    <col min="639" max="639" width="6.4140625" style="2"/>
    <col min="640" max="640" width="6.4140625" style="3"/>
    <col min="641" max="641" width="6.4140625" style="2"/>
    <col min="642" max="642" width="6.4140625" style="3"/>
    <col min="643" max="644" width="6.4140625" style="2"/>
    <col min="645" max="645" width="6.4140625" style="1"/>
    <col min="646" max="646" width="6.4140625" style="2"/>
    <col min="647" max="647" width="6.4140625" style="3"/>
    <col min="648" max="648" width="6.4140625" style="2"/>
    <col min="649" max="649" width="6.4140625" style="3"/>
    <col min="650" max="651" width="6.4140625" style="2"/>
    <col min="652" max="652" width="6.4140625" style="1"/>
    <col min="653" max="653" width="6.4140625" style="2"/>
    <col min="654" max="654" width="6.4140625" style="3"/>
    <col min="655" max="655" width="6.4140625" style="2"/>
    <col min="656" max="656" width="6.4140625" style="3"/>
    <col min="657" max="658" width="6.4140625" style="2"/>
    <col min="659" max="659" width="6.4140625" style="1"/>
    <col min="660" max="660" width="6.4140625" style="2"/>
    <col min="661" max="661" width="6.4140625" style="3"/>
    <col min="662" max="662" width="6.4140625" style="2"/>
    <col min="663" max="663" width="6.4140625" style="3"/>
    <col min="664" max="665" width="6.4140625" style="2"/>
    <col min="666" max="666" width="6.4140625" style="1"/>
    <col min="667" max="667" width="6.4140625" style="2"/>
    <col min="668" max="668" width="6.4140625" style="3"/>
    <col min="669" max="669" width="6.4140625" style="2"/>
    <col min="670" max="670" width="6.4140625" style="3"/>
    <col min="671" max="672" width="6.4140625" style="2"/>
    <col min="673" max="673" width="6.4140625" style="1"/>
    <col min="674" max="674" width="6.4140625" style="2"/>
    <col min="675" max="675" width="6.4140625" style="3"/>
    <col min="676" max="676" width="6.4140625" style="2"/>
    <col min="677" max="677" width="6.4140625" style="3"/>
    <col min="678" max="679" width="6.4140625" style="2"/>
    <col min="680" max="680" width="6.4140625" style="1"/>
    <col min="681" max="681" width="6.4140625" style="2"/>
    <col min="682" max="682" width="6.4140625" style="3"/>
    <col min="683" max="683" width="6.4140625" style="2"/>
    <col min="684" max="684" width="6.4140625" style="3"/>
    <col min="685" max="686" width="6.4140625" style="2"/>
    <col min="687" max="687" width="6.4140625" style="1"/>
    <col min="688" max="688" width="6.4140625" style="2"/>
    <col min="689" max="689" width="6.4140625" style="3"/>
    <col min="690" max="690" width="6.4140625" style="2"/>
    <col min="691" max="691" width="6.4140625" style="3"/>
    <col min="692" max="693" width="6.4140625" style="2"/>
    <col min="694" max="694" width="6.4140625" style="1"/>
    <col min="695" max="695" width="6.4140625" style="2"/>
    <col min="696" max="696" width="6.4140625" style="3"/>
    <col min="697" max="697" width="6.4140625" style="2"/>
    <col min="698" max="698" width="6.4140625" style="3"/>
    <col min="699" max="700" width="6.4140625" style="2"/>
    <col min="701" max="701" width="6.4140625" style="1"/>
    <col min="702" max="702" width="6.4140625" style="2"/>
    <col min="703" max="703" width="6.4140625" style="3"/>
    <col min="704" max="704" width="6.4140625" style="2"/>
    <col min="705" max="705" width="6.4140625" style="3"/>
    <col min="706" max="707" width="6.4140625" style="2"/>
    <col min="708" max="708" width="6.4140625" style="1"/>
    <col min="709" max="709" width="6.4140625" style="2"/>
    <col min="710" max="710" width="6.4140625" style="3"/>
    <col min="711" max="711" width="6.4140625" style="2"/>
    <col min="712" max="712" width="6.4140625" style="3"/>
    <col min="713" max="714" width="6.4140625" style="2"/>
    <col min="715" max="715" width="6.4140625" style="1"/>
    <col min="716" max="716" width="6.4140625" style="2"/>
    <col min="717" max="717" width="6.4140625" style="3"/>
    <col min="718" max="718" width="6.4140625" style="2"/>
    <col min="719" max="719" width="6.4140625" style="3"/>
    <col min="720" max="721" width="6.4140625" style="2"/>
    <col min="722" max="722" width="6.4140625" style="1"/>
    <col min="723" max="723" width="6.4140625" style="2"/>
    <col min="724" max="724" width="6.4140625" style="3"/>
    <col min="725" max="725" width="6.4140625" style="2"/>
    <col min="726" max="726" width="6.4140625" style="3"/>
    <col min="727" max="728" width="6.4140625" style="2"/>
    <col min="729" max="729" width="6.4140625" style="1"/>
    <col min="730" max="730" width="6.4140625" style="2"/>
    <col min="731" max="731" width="6.4140625" style="3"/>
    <col min="732" max="732" width="6.4140625" style="2"/>
    <col min="733" max="733" width="6.4140625" style="3"/>
    <col min="734" max="735" width="6.4140625" style="2"/>
    <col min="736" max="736" width="6.4140625" style="1"/>
    <col min="737" max="737" width="6.4140625" style="2"/>
    <col min="738" max="738" width="6.4140625" style="3"/>
    <col min="739" max="739" width="6.4140625" style="2"/>
    <col min="740" max="740" width="6.4140625" style="3"/>
    <col min="741" max="742" width="6.4140625" style="2"/>
    <col min="743" max="743" width="6.4140625" style="1"/>
    <col min="744" max="744" width="6.4140625" style="2"/>
    <col min="745" max="745" width="6.4140625" style="3"/>
    <col min="746" max="746" width="6.4140625" style="2"/>
    <col min="747" max="747" width="6.4140625" style="3"/>
    <col min="748" max="749" width="6.4140625" style="2"/>
    <col min="750" max="750" width="6.4140625" style="1"/>
    <col min="751" max="751" width="6.4140625" style="2"/>
    <col min="752" max="752" width="6.4140625" style="3"/>
    <col min="753" max="753" width="6.4140625" style="2"/>
    <col min="754" max="754" width="6.4140625" style="3"/>
    <col min="755" max="756" width="6.4140625" style="2"/>
    <col min="757" max="757" width="6.4140625" style="1"/>
    <col min="758" max="758" width="6.4140625" style="2"/>
    <col min="759" max="759" width="6.4140625" style="3"/>
    <col min="760" max="760" width="6.4140625" style="2"/>
    <col min="761" max="761" width="6.4140625" style="3"/>
    <col min="762" max="763" width="6.4140625" style="2"/>
    <col min="764" max="764" width="6.4140625" style="1"/>
    <col min="765" max="765" width="6.4140625" style="2"/>
    <col min="766" max="766" width="6.4140625" style="3"/>
    <col min="767" max="767" width="6.4140625" style="2"/>
    <col min="768" max="768" width="6.4140625" style="3"/>
    <col min="769" max="770" width="6.4140625" style="2"/>
    <col min="771" max="771" width="6.4140625" style="1"/>
    <col min="772" max="772" width="6.4140625" style="2"/>
    <col min="773" max="773" width="6.4140625" style="3"/>
    <col min="774" max="774" width="6.4140625" style="2"/>
    <col min="775" max="775" width="6.4140625" style="3"/>
    <col min="776" max="777" width="6.4140625" style="2"/>
    <col min="778" max="778" width="6.4140625" style="1"/>
    <col min="779" max="779" width="6.4140625" style="2"/>
    <col min="780" max="780" width="6.4140625" style="3"/>
    <col min="781" max="781" width="6.4140625" style="2"/>
    <col min="782" max="782" width="6.4140625" style="3"/>
    <col min="783" max="784" width="6.4140625" style="2"/>
    <col min="785" max="785" width="6.4140625" style="1"/>
    <col min="786" max="786" width="6.4140625" style="2"/>
    <col min="787" max="787" width="6.4140625" style="3"/>
    <col min="788" max="788" width="6.4140625" style="2"/>
    <col min="789" max="789" width="6.4140625" style="3"/>
    <col min="790" max="791" width="6.4140625" style="2"/>
    <col min="792" max="792" width="6.4140625" style="1"/>
    <col min="793" max="793" width="6.4140625" style="2"/>
    <col min="794" max="794" width="6.4140625" style="3"/>
    <col min="795" max="795" width="6.4140625" style="2"/>
    <col min="796" max="796" width="6.4140625" style="3"/>
    <col min="797" max="798" width="6.4140625" style="2"/>
    <col min="799" max="799" width="6.4140625" style="1"/>
    <col min="800" max="800" width="6.4140625" style="2"/>
    <col min="801" max="801" width="6.4140625" style="3"/>
    <col min="802" max="802" width="6.4140625" style="2"/>
    <col min="803" max="803" width="6.4140625" style="3"/>
    <col min="804" max="805" width="6.4140625" style="2"/>
    <col min="806" max="806" width="6.4140625" style="1"/>
    <col min="807" max="807" width="6.4140625" style="2"/>
    <col min="808" max="808" width="6.4140625" style="3"/>
    <col min="809" max="809" width="6.4140625" style="2"/>
    <col min="810" max="810" width="6.4140625" style="3"/>
    <col min="811" max="812" width="6.4140625" style="2"/>
    <col min="813" max="813" width="6.4140625" style="1"/>
    <col min="814" max="814" width="6.4140625" style="2"/>
    <col min="815" max="815" width="6.4140625" style="3"/>
    <col min="816" max="816" width="6.4140625" style="2"/>
    <col min="817" max="817" width="6.4140625" style="3"/>
    <col min="818" max="819" width="6.4140625" style="2"/>
    <col min="820" max="820" width="6.4140625" style="1"/>
    <col min="821" max="821" width="6.4140625" style="2"/>
    <col min="822" max="822" width="6.4140625" style="3"/>
    <col min="823" max="823" width="6.4140625" style="2"/>
    <col min="824" max="824" width="6.4140625" style="3"/>
    <col min="825" max="826" width="6.4140625" style="2"/>
    <col min="827" max="827" width="6.4140625" style="1"/>
    <col min="828" max="828" width="6.4140625" style="2"/>
    <col min="829" max="829" width="6.4140625" style="3"/>
    <col min="830" max="830" width="6.4140625" style="2"/>
    <col min="831" max="831" width="6.4140625" style="3"/>
    <col min="832" max="833" width="6.4140625" style="2"/>
    <col min="834" max="834" width="6.4140625" style="1"/>
    <col min="835" max="835" width="6.4140625" style="2"/>
    <col min="836" max="836" width="6.4140625" style="3"/>
    <col min="837" max="837" width="6.4140625" style="2"/>
    <col min="838" max="838" width="6.4140625" style="3"/>
    <col min="839" max="840" width="6.4140625" style="2"/>
    <col min="841" max="841" width="6.4140625" style="1"/>
    <col min="842" max="842" width="6.4140625" style="2"/>
    <col min="843" max="843" width="6.4140625" style="3"/>
    <col min="844" max="844" width="6.4140625" style="2"/>
    <col min="845" max="845" width="6.4140625" style="3"/>
    <col min="846" max="847" width="6.4140625" style="2"/>
    <col min="848" max="848" width="6.4140625" style="1"/>
    <col min="849" max="849" width="6.4140625" style="2"/>
    <col min="850" max="850" width="6.4140625" style="3"/>
    <col min="851" max="851" width="6.4140625" style="2"/>
    <col min="852" max="852" width="6.4140625" style="3"/>
    <col min="853" max="854" width="6.4140625" style="2"/>
    <col min="855" max="855" width="6.4140625" style="1"/>
    <col min="856" max="856" width="6.4140625" style="2"/>
    <col min="857" max="857" width="6.4140625" style="3"/>
    <col min="858" max="858" width="6.4140625" style="2"/>
    <col min="859" max="859" width="6.4140625" style="3"/>
    <col min="860" max="861" width="6.4140625" style="2"/>
    <col min="862" max="862" width="6.4140625" style="1"/>
    <col min="863" max="863" width="6.4140625" style="2"/>
    <col min="864" max="864" width="6.4140625" style="3"/>
    <col min="865" max="865" width="6.4140625" style="2"/>
    <col min="866" max="866" width="6.4140625" style="3"/>
    <col min="867" max="868" width="6.4140625" style="2"/>
    <col min="869" max="869" width="6.4140625" style="1"/>
    <col min="870" max="870" width="6.4140625" style="2"/>
    <col min="871" max="871" width="6.4140625" style="3"/>
    <col min="872" max="872" width="6.4140625" style="2"/>
    <col min="873" max="873" width="6.4140625" style="3"/>
    <col min="874" max="875" width="6.4140625" style="2"/>
    <col min="876" max="876" width="6.4140625" style="1"/>
    <col min="877" max="877" width="6.4140625" style="2"/>
    <col min="878" max="878" width="6.4140625" style="3"/>
    <col min="879" max="879" width="6.4140625" style="2"/>
    <col min="880" max="880" width="6.4140625" style="3"/>
    <col min="881" max="882" width="6.4140625" style="2"/>
    <col min="883" max="883" width="6.4140625" style="1"/>
    <col min="884" max="884" width="6.4140625" style="2"/>
    <col min="885" max="885" width="6.4140625" style="3"/>
    <col min="886" max="886" width="6.4140625" style="2"/>
    <col min="887" max="887" width="6.4140625" style="3"/>
    <col min="888" max="889" width="6.4140625" style="2"/>
    <col min="890" max="890" width="6.4140625" style="1"/>
    <col min="891" max="891" width="6.4140625" style="2"/>
    <col min="892" max="892" width="6.4140625" style="3"/>
    <col min="893" max="893" width="6.4140625" style="2"/>
    <col min="894" max="894" width="6.4140625" style="3"/>
    <col min="895" max="896" width="6.4140625" style="2"/>
    <col min="897" max="897" width="6.4140625" style="1"/>
    <col min="898" max="898" width="6.4140625" style="2"/>
    <col min="899" max="899" width="6.4140625" style="3"/>
    <col min="900" max="900" width="6.4140625" style="2"/>
    <col min="901" max="901" width="6.4140625" style="3"/>
    <col min="902" max="903" width="6.4140625" style="2"/>
    <col min="904" max="904" width="6.4140625" style="1"/>
    <col min="905" max="905" width="6.4140625" style="2"/>
    <col min="906" max="906" width="6.4140625" style="3"/>
    <col min="907" max="907" width="6.4140625" style="2"/>
    <col min="908" max="908" width="6.4140625" style="3"/>
    <col min="909" max="910" width="6.4140625" style="2"/>
    <col min="911" max="911" width="6.4140625" style="1"/>
    <col min="912" max="912" width="6.4140625" style="2"/>
    <col min="913" max="913" width="6.4140625" style="3"/>
    <col min="914" max="914" width="6.4140625" style="2"/>
    <col min="915" max="915" width="6.4140625" style="3"/>
    <col min="916" max="917" width="6.4140625" style="2"/>
    <col min="918" max="918" width="6.4140625" style="1"/>
    <col min="919" max="919" width="6.4140625" style="2"/>
    <col min="920" max="920" width="6.4140625" style="3"/>
    <col min="921" max="921" width="6.4140625" style="2"/>
    <col min="922" max="922" width="6.4140625" style="3"/>
    <col min="923" max="924" width="6.4140625" style="2"/>
    <col min="925" max="925" width="6.4140625" style="1"/>
    <col min="926" max="926" width="6.4140625" style="2"/>
    <col min="927" max="927" width="6.4140625" style="3"/>
    <col min="928" max="928" width="6.4140625" style="2"/>
    <col min="929" max="929" width="6.4140625" style="3"/>
    <col min="930" max="931" width="6.4140625" style="2"/>
    <col min="932" max="932" width="6.4140625" style="1"/>
    <col min="933" max="933" width="6.4140625" style="2"/>
    <col min="934" max="934" width="6.4140625" style="3"/>
    <col min="935" max="935" width="6.4140625" style="2"/>
    <col min="936" max="936" width="6.4140625" style="3"/>
    <col min="937" max="938" width="6.4140625" style="2"/>
    <col min="939" max="939" width="6.4140625" style="1"/>
    <col min="940" max="940" width="6.4140625" style="2"/>
    <col min="941" max="941" width="6.4140625" style="3"/>
    <col min="942" max="942" width="6.4140625" style="2"/>
    <col min="943" max="943" width="6.4140625" style="3"/>
    <col min="944" max="945" width="6.4140625" style="2"/>
    <col min="946" max="946" width="6.4140625" style="1"/>
    <col min="947" max="947" width="6.4140625" style="2"/>
    <col min="948" max="948" width="6.4140625" style="3"/>
    <col min="949" max="949" width="6.4140625" style="2"/>
    <col min="950" max="950" width="6.4140625" style="3"/>
    <col min="951" max="952" width="6.4140625" style="2"/>
    <col min="953" max="953" width="6.4140625" style="1"/>
    <col min="954" max="954" width="6.4140625" style="2"/>
    <col min="955" max="955" width="6.4140625" style="3"/>
    <col min="956" max="956" width="6.4140625" style="2"/>
    <col min="957" max="957" width="6.4140625" style="3"/>
    <col min="958" max="959" width="6.4140625" style="2"/>
    <col min="960" max="960" width="6.4140625" style="1"/>
    <col min="961" max="961" width="6.4140625" style="2"/>
    <col min="962" max="962" width="6.4140625" style="3"/>
    <col min="963" max="963" width="6.4140625" style="2"/>
    <col min="964" max="964" width="6.4140625" style="3"/>
    <col min="965" max="966" width="6.4140625" style="2"/>
    <col min="967" max="967" width="6.4140625" style="1"/>
    <col min="968" max="968" width="6.4140625" style="2"/>
    <col min="969" max="969" width="6.4140625" style="3"/>
    <col min="970" max="970" width="6.4140625" style="2"/>
    <col min="971" max="971" width="6.4140625" style="3"/>
    <col min="972" max="973" width="6.4140625" style="2"/>
    <col min="974" max="974" width="6.4140625" style="1"/>
    <col min="975" max="975" width="6.4140625" style="2"/>
    <col min="976" max="976" width="6.4140625" style="3"/>
    <col min="977" max="977" width="6.4140625" style="2"/>
    <col min="978" max="978" width="6.4140625" style="3"/>
    <col min="979" max="980" width="6.4140625" style="2"/>
    <col min="981" max="981" width="6.4140625" style="1"/>
    <col min="982" max="982" width="6.4140625" style="2"/>
    <col min="983" max="983" width="6.4140625" style="3"/>
    <col min="984" max="984" width="6.4140625" style="2"/>
    <col min="985" max="985" width="6.4140625" style="3"/>
    <col min="986" max="987" width="6.4140625" style="2"/>
    <col min="988" max="988" width="6.4140625" style="1"/>
    <col min="989" max="989" width="6.4140625" style="2"/>
    <col min="990" max="990" width="6.4140625" style="3"/>
    <col min="991" max="991" width="6.4140625" style="2"/>
    <col min="992" max="992" width="6.4140625" style="3"/>
    <col min="993" max="994" width="6.4140625" style="2"/>
    <col min="995" max="995" width="6.4140625" style="1"/>
    <col min="996" max="996" width="6.4140625" style="2"/>
    <col min="997" max="997" width="6.4140625" style="3"/>
    <col min="998" max="998" width="6.4140625" style="2"/>
    <col min="999" max="999" width="6.4140625" style="3"/>
    <col min="1000" max="1001" width="6.4140625" style="2"/>
    <col min="1002" max="1002" width="6.4140625" style="1"/>
    <col min="1003" max="1003" width="6.4140625" style="2"/>
    <col min="1004" max="1004" width="6.4140625" style="3"/>
    <col min="1005" max="1005" width="6.4140625" style="2"/>
    <col min="1006" max="1006" width="6.4140625" style="3"/>
    <col min="1007" max="1008" width="6.4140625" style="2"/>
    <col min="1009" max="1009" width="6.4140625" style="1"/>
    <col min="1010" max="1010" width="6.4140625" style="2"/>
    <col min="1011" max="1011" width="6.4140625" style="3"/>
    <col min="1012" max="1012" width="6.4140625" style="2"/>
    <col min="1013" max="1013" width="6.4140625" style="3"/>
    <col min="1014" max="1015" width="6.4140625" style="2"/>
    <col min="1016" max="1016" width="6.4140625" style="1"/>
    <col min="1017" max="1017" width="6.4140625" style="2"/>
    <col min="1018" max="1018" width="6.4140625" style="3"/>
    <col min="1019" max="1019" width="6.4140625" style="2"/>
    <col min="1020" max="1020" width="6.4140625" style="3"/>
    <col min="1021" max="1022" width="6.4140625" style="2"/>
    <col min="1023" max="1023" width="6.4140625" style="1"/>
    <col min="1024" max="1024" width="6.4140625" style="2"/>
    <col min="1025" max="1025" width="6.4140625" style="3"/>
    <col min="1026" max="1026" width="6.4140625" style="2"/>
    <col min="1027" max="1027" width="6.4140625" style="3"/>
    <col min="1028" max="1029" width="6.4140625" style="2"/>
    <col min="1030" max="1030" width="6.4140625" style="1"/>
    <col min="1031" max="1031" width="6.4140625" style="2"/>
    <col min="1032" max="1032" width="6.4140625" style="3"/>
    <col min="1033" max="1033" width="6.4140625" style="2"/>
    <col min="1034" max="1034" width="6.4140625" style="3"/>
    <col min="1035" max="1036" width="6.4140625" style="2"/>
    <col min="1037" max="1037" width="6.4140625" style="1"/>
    <col min="1038" max="1038" width="6.4140625" style="2"/>
    <col min="1039" max="1039" width="6.4140625" style="3"/>
    <col min="1040" max="1040" width="6.4140625" style="2"/>
    <col min="1041" max="1041" width="6.4140625" style="3"/>
    <col min="1042" max="1043" width="6.4140625" style="2"/>
    <col min="1044" max="1044" width="6.4140625" style="1"/>
    <col min="1045" max="1045" width="6.4140625" style="2"/>
    <col min="1046" max="1046" width="6.4140625" style="3"/>
    <col min="1047" max="1047" width="6.4140625" style="2"/>
    <col min="1048" max="1048" width="6.4140625" style="3"/>
    <col min="1049" max="1050" width="6.4140625" style="2"/>
    <col min="1051" max="1051" width="6.4140625" style="1"/>
    <col min="1052" max="1052" width="6.4140625" style="2"/>
    <col min="1053" max="1053" width="6.4140625" style="3"/>
    <col min="1054" max="1054" width="6.4140625" style="2"/>
    <col min="1055" max="1055" width="6.4140625" style="3"/>
    <col min="1056" max="1057" width="6.4140625" style="2"/>
    <col min="1058" max="1058" width="6.4140625" style="1"/>
    <col min="1059" max="1059" width="6.4140625" style="2"/>
    <col min="1060" max="1060" width="6.4140625" style="3"/>
    <col min="1061" max="1061" width="6.4140625" style="2"/>
    <col min="1062" max="1062" width="6.4140625" style="3"/>
    <col min="1063" max="1064" width="6.4140625" style="2"/>
    <col min="1065" max="1065" width="6.4140625" style="1"/>
    <col min="1066" max="1066" width="6.4140625" style="2"/>
    <col min="1067" max="1067" width="6.4140625" style="3"/>
    <col min="1068" max="1068" width="6.4140625" style="2"/>
    <col min="1069" max="1069" width="6.4140625" style="3"/>
    <col min="1070" max="1071" width="6.4140625" style="2"/>
    <col min="1072" max="1072" width="6.4140625" style="1"/>
    <col min="1073" max="1073" width="6.4140625" style="2"/>
    <col min="1074" max="1074" width="6.4140625" style="3"/>
    <col min="1075" max="1075" width="6.4140625" style="2"/>
    <col min="1076" max="1076" width="6.4140625" style="3"/>
    <col min="1077" max="1078" width="6.4140625" style="2"/>
    <col min="1079" max="1079" width="6.4140625" style="1"/>
    <col min="1080" max="1080" width="6.4140625" style="2"/>
    <col min="1081" max="1081" width="6.4140625" style="3"/>
    <col min="1082" max="1082" width="6.4140625" style="2"/>
    <col min="1083" max="1083" width="6.4140625" style="3"/>
    <col min="1084" max="1085" width="6.4140625" style="2"/>
    <col min="1086" max="1086" width="6.4140625" style="1"/>
    <col min="1087" max="1087" width="6.4140625" style="2"/>
    <col min="1088" max="1088" width="6.4140625" style="3"/>
    <col min="1089" max="1089" width="6.4140625" style="2"/>
    <col min="1090" max="1090" width="6.4140625" style="3"/>
    <col min="1091" max="1092" width="6.4140625" style="2"/>
    <col min="1093" max="1093" width="6.4140625" style="1"/>
    <col min="1094" max="1094" width="6.4140625" style="2"/>
    <col min="1095" max="1095" width="6.4140625" style="3"/>
    <col min="1096" max="1096" width="6.4140625" style="2"/>
    <col min="1097" max="1097" width="6.4140625" style="3"/>
    <col min="1098" max="1099" width="6.4140625" style="2"/>
    <col min="1100" max="1100" width="6.4140625" style="1"/>
    <col min="1101" max="1101" width="6.4140625" style="2"/>
    <col min="1102" max="1102" width="6.4140625" style="3"/>
    <col min="1103" max="1103" width="6.4140625" style="2"/>
    <col min="1104" max="1104" width="6.4140625" style="3"/>
    <col min="1105" max="1106" width="6.4140625" style="2"/>
    <col min="1107" max="1107" width="6.4140625" style="1"/>
    <col min="1108" max="1108" width="6.4140625" style="2"/>
    <col min="1109" max="1109" width="6.4140625" style="3"/>
    <col min="1110" max="1110" width="6.4140625" style="2"/>
    <col min="1111" max="1111" width="6.4140625" style="3"/>
    <col min="1112" max="1113" width="6.4140625" style="2"/>
    <col min="1114" max="1114" width="6.4140625" style="1"/>
    <col min="1115" max="1115" width="6.4140625" style="2"/>
    <col min="1116" max="1116" width="6.4140625" style="3"/>
    <col min="1117" max="1117" width="6.4140625" style="2"/>
    <col min="1118" max="1118" width="6.4140625" style="3"/>
    <col min="1119" max="1120" width="6.4140625" style="2"/>
    <col min="1121" max="1121" width="6.4140625" style="1"/>
    <col min="1122" max="1122" width="6.4140625" style="2"/>
    <col min="1123" max="1123" width="6.4140625" style="3"/>
    <col min="1124" max="1124" width="6.4140625" style="2"/>
    <col min="1125" max="1125" width="6.4140625" style="3"/>
    <col min="1126" max="1127" width="6.4140625" style="2"/>
    <col min="1128" max="1128" width="6.4140625" style="1"/>
    <col min="1129" max="1129" width="6.4140625" style="2"/>
    <col min="1130" max="1130" width="6.4140625" style="3"/>
    <col min="1131" max="1131" width="6.4140625" style="2"/>
    <col min="1132" max="1132" width="6.4140625" style="3"/>
    <col min="1133" max="1134" width="6.4140625" style="2"/>
    <col min="1135" max="1135" width="6.4140625" style="1"/>
    <col min="1136" max="1136" width="6.4140625" style="2"/>
    <col min="1137" max="1137" width="6.4140625" style="3"/>
    <col min="1138" max="1138" width="6.4140625" style="2"/>
    <col min="1139" max="1139" width="6.4140625" style="3"/>
    <col min="1140" max="1141" width="6.4140625" style="2"/>
    <col min="1142" max="1142" width="6.4140625" style="1"/>
    <col min="1143" max="1143" width="6.4140625" style="2"/>
    <col min="1144" max="1144" width="6.4140625" style="3"/>
    <col min="1145" max="1145" width="6.4140625" style="2"/>
    <col min="1146" max="1146" width="6.4140625" style="3"/>
    <col min="1147" max="1148" width="6.4140625" style="2"/>
    <col min="1149" max="1149" width="6.4140625" style="1"/>
    <col min="1150" max="1150" width="6.4140625" style="2"/>
    <col min="1151" max="1151" width="6.4140625" style="3"/>
    <col min="1152" max="1152" width="6.4140625" style="2"/>
    <col min="1153" max="1153" width="6.4140625" style="3"/>
    <col min="1154" max="1155" width="6.4140625" style="2"/>
    <col min="1156" max="1156" width="6.4140625" style="1"/>
    <col min="1157" max="1157" width="6.4140625" style="2"/>
    <col min="1158" max="1158" width="6.4140625" style="3"/>
    <col min="1159" max="1159" width="6.4140625" style="2"/>
    <col min="1160" max="1160" width="6.4140625" style="3"/>
    <col min="1161" max="1162" width="6.4140625" style="2"/>
    <col min="1163" max="1163" width="6.4140625" style="1"/>
    <col min="1164" max="1164" width="6.4140625" style="2"/>
    <col min="1165" max="1165" width="6.4140625" style="3"/>
    <col min="1166" max="1166" width="6.4140625" style="2"/>
    <col min="1167" max="1167" width="6.4140625" style="3"/>
    <col min="1168" max="1169" width="6.4140625" style="2"/>
    <col min="1170" max="1170" width="6.4140625" style="1"/>
    <col min="1171" max="1171" width="6.4140625" style="2"/>
    <col min="1172" max="1172" width="6.4140625" style="3"/>
    <col min="1173" max="1173" width="6.4140625" style="2"/>
    <col min="1174" max="1174" width="6.4140625" style="3"/>
    <col min="1175" max="1176" width="6.4140625" style="2"/>
    <col min="1177" max="1177" width="6.4140625" style="1"/>
    <col min="1178" max="1178" width="6.4140625" style="2"/>
    <col min="1179" max="1179" width="6.4140625" style="3"/>
    <col min="1180" max="1180" width="6.4140625" style="2"/>
    <col min="1181" max="1181" width="6.4140625" style="3"/>
    <col min="1182" max="1183" width="6.4140625" style="2"/>
    <col min="1184" max="1184" width="6.4140625" style="1"/>
    <col min="1185" max="1185" width="6.4140625" style="2"/>
    <col min="1186" max="1186" width="6.4140625" style="3"/>
    <col min="1187" max="1187" width="6.4140625" style="2"/>
    <col min="1188" max="1188" width="6.4140625" style="3"/>
    <col min="1189" max="1190" width="6.4140625" style="2"/>
    <col min="1191" max="1191" width="6.4140625" style="1"/>
    <col min="1192" max="1192" width="6.4140625" style="2"/>
    <col min="1193" max="1193" width="6.4140625" style="3"/>
    <col min="1194" max="1194" width="6.4140625" style="2"/>
    <col min="1195" max="1195" width="6.4140625" style="3"/>
    <col min="1196" max="1197" width="6.4140625" style="2"/>
    <col min="1198" max="1198" width="6.4140625" style="1"/>
    <col min="1199" max="1199" width="6.4140625" style="2"/>
    <col min="1200" max="1200" width="6.4140625" style="3"/>
    <col min="1201" max="1201" width="6.4140625" style="2"/>
    <col min="1202" max="1202" width="6.4140625" style="3"/>
    <col min="1203" max="1204" width="6.4140625" style="2"/>
    <col min="1205" max="1205" width="6.4140625" style="1"/>
    <col min="1206" max="1206" width="6.4140625" style="2"/>
    <col min="1207" max="1207" width="6.4140625" style="3"/>
    <col min="1208" max="1208" width="6.4140625" style="2"/>
    <col min="1209" max="1209" width="6.4140625" style="3"/>
    <col min="1210" max="1211" width="6.4140625" style="2"/>
    <col min="1212" max="1212" width="6.4140625" style="1"/>
    <col min="1213" max="1213" width="6.4140625" style="2"/>
    <col min="1214" max="1214" width="6.4140625" style="3"/>
    <col min="1215" max="1215" width="6.4140625" style="2"/>
    <col min="1216" max="1216" width="6.4140625" style="3"/>
    <col min="1217" max="1218" width="6.4140625" style="2"/>
    <col min="1219" max="1219" width="6.4140625" style="1"/>
    <col min="1220" max="1220" width="6.4140625" style="2"/>
    <col min="1221" max="1221" width="6.4140625" style="3"/>
    <col min="1222" max="1222" width="6.4140625" style="2"/>
    <col min="1223" max="1223" width="6.4140625" style="3"/>
    <col min="1224" max="1225" width="6.4140625" style="2"/>
    <col min="1226" max="1226" width="6.4140625" style="1"/>
    <col min="1227" max="1227" width="6.4140625" style="2"/>
    <col min="1228" max="1228" width="6.4140625" style="3"/>
    <col min="1229" max="1229" width="6.4140625" style="2"/>
    <col min="1230" max="1230" width="6.4140625" style="3"/>
    <col min="1231" max="1232" width="6.4140625" style="2"/>
    <col min="1233" max="1233" width="6.4140625" style="1"/>
    <col min="1234" max="1234" width="6.4140625" style="2"/>
    <col min="1235" max="1235" width="6.4140625" style="3"/>
    <col min="1236" max="1236" width="6.4140625" style="2"/>
    <col min="1237" max="1237" width="6.4140625" style="3"/>
    <col min="1238" max="1239" width="6.4140625" style="2"/>
    <col min="1240" max="1240" width="6.4140625" style="1"/>
    <col min="1241" max="1241" width="6.4140625" style="2"/>
    <col min="1242" max="1242" width="6.4140625" style="3"/>
    <col min="1243" max="1243" width="6.4140625" style="2"/>
    <col min="1244" max="1244" width="6.4140625" style="3"/>
    <col min="1245" max="1246" width="6.4140625" style="2"/>
    <col min="1247" max="1247" width="6.4140625" style="1"/>
    <col min="1248" max="1248" width="6.4140625" style="2"/>
    <col min="1249" max="1249" width="6.4140625" style="3"/>
    <col min="1250" max="1250" width="6.4140625" style="2"/>
    <col min="1251" max="1251" width="6.4140625" style="3"/>
    <col min="1252" max="1253" width="6.4140625" style="2"/>
    <col min="1254" max="1254" width="6.4140625" style="1"/>
    <col min="1255" max="1255" width="6.4140625" style="2"/>
    <col min="1256" max="1256" width="6.4140625" style="3"/>
    <col min="1257" max="1257" width="6.4140625" style="2"/>
    <col min="1258" max="1258" width="6.4140625" style="3"/>
    <col min="1259" max="1260" width="6.4140625" style="2"/>
    <col min="1261" max="1261" width="6.4140625" style="1"/>
    <col min="1262" max="1262" width="6.4140625" style="2"/>
    <col min="1263" max="1263" width="6.4140625" style="3"/>
    <col min="1264" max="1264" width="6.4140625" style="2"/>
    <col min="1265" max="1265" width="6.4140625" style="3"/>
    <col min="1266" max="1267" width="6.4140625" style="2"/>
    <col min="1268" max="1268" width="6.4140625" style="1"/>
    <col min="1269" max="1269" width="6.4140625" style="2"/>
    <col min="1270" max="1270" width="6.4140625" style="3"/>
    <col min="1271" max="1271" width="6.4140625" style="2"/>
    <col min="1272" max="1272" width="6.4140625" style="3"/>
    <col min="1273" max="1274" width="6.4140625" style="2"/>
    <col min="1275" max="1275" width="6.4140625" style="1"/>
    <col min="1276" max="1276" width="6.4140625" style="2"/>
    <col min="1277" max="1277" width="6.4140625" style="3"/>
    <col min="1278" max="1278" width="6.4140625" style="2"/>
    <col min="1279" max="1279" width="6.4140625" style="3"/>
    <col min="1280" max="1281" width="6.4140625" style="2"/>
    <col min="1282" max="1282" width="6.4140625" style="1"/>
    <col min="1283" max="1283" width="6.4140625" style="2"/>
    <col min="1284" max="1284" width="6.4140625" style="3"/>
    <col min="1285" max="1285" width="6.4140625" style="2"/>
    <col min="1286" max="1286" width="6.4140625" style="3"/>
    <col min="1287" max="1288" width="6.4140625" style="2"/>
    <col min="1289" max="1289" width="6.4140625" style="1"/>
    <col min="1290" max="1290" width="6.4140625" style="2"/>
    <col min="1291" max="1291" width="6.4140625" style="3"/>
    <col min="1292" max="1292" width="6.4140625" style="2"/>
    <col min="1293" max="1293" width="6.4140625" style="3"/>
    <col min="1294" max="1295" width="6.4140625" style="2"/>
    <col min="1296" max="1296" width="6.4140625" style="1"/>
    <col min="1297" max="1297" width="6.4140625" style="2"/>
    <col min="1298" max="1298" width="6.4140625" style="3"/>
    <col min="1299" max="1299" width="6.4140625" style="2"/>
    <col min="1300" max="1300" width="6.4140625" style="3"/>
    <col min="1301" max="1302" width="6.4140625" style="2"/>
    <col min="1303" max="1303" width="6.4140625" style="1"/>
    <col min="1304" max="1304" width="6.4140625" style="2"/>
    <col min="1305" max="1305" width="6.4140625" style="3"/>
    <col min="1306" max="1306" width="6.4140625" style="2"/>
    <col min="1307" max="1307" width="6.4140625" style="3"/>
    <col min="1308" max="1309" width="6.4140625" style="2"/>
    <col min="1310" max="1310" width="6.4140625" style="1"/>
    <col min="1311" max="1311" width="6.4140625" style="2"/>
    <col min="1312" max="1312" width="6.4140625" style="3"/>
    <col min="1313" max="1313" width="6.4140625" style="2"/>
    <col min="1314" max="1314" width="6.4140625" style="3"/>
    <col min="1315" max="1316" width="6.4140625" style="2"/>
    <col min="1317" max="1317" width="6.4140625" style="1"/>
    <col min="1318" max="1318" width="6.4140625" style="2"/>
    <col min="1319" max="1319" width="6.4140625" style="3"/>
    <col min="1320" max="1320" width="6.4140625" style="2"/>
    <col min="1321" max="1321" width="6.4140625" style="3"/>
    <col min="1322" max="1323" width="6.4140625" style="2"/>
    <col min="1324" max="1324" width="6.4140625" style="1"/>
    <col min="1325" max="1325" width="6.4140625" style="2"/>
    <col min="1326" max="1326" width="6.4140625" style="3"/>
    <col min="1327" max="1327" width="6.4140625" style="2"/>
    <col min="1328" max="1328" width="6.4140625" style="3"/>
    <col min="1329" max="1330" width="6.4140625" style="2"/>
    <col min="1331" max="1331" width="6.4140625" style="1"/>
    <col min="1332" max="1332" width="6.4140625" style="2"/>
    <col min="1333" max="1333" width="6.4140625" style="3"/>
    <col min="1334" max="1334" width="6.4140625" style="2"/>
    <col min="1335" max="1335" width="6.4140625" style="3"/>
    <col min="1336" max="1337" width="6.4140625" style="2"/>
    <col min="1338" max="1338" width="6.4140625" style="1"/>
    <col min="1339" max="1339" width="6.4140625" style="2"/>
    <col min="1340" max="1340" width="6.4140625" style="3"/>
    <col min="1341" max="1341" width="6.4140625" style="2"/>
    <col min="1342" max="1342" width="6.4140625" style="3"/>
    <col min="1343" max="1344" width="6.4140625" style="2"/>
    <col min="1345" max="1345" width="6.4140625" style="1"/>
    <col min="1346" max="1346" width="6.4140625" style="2"/>
    <col min="1347" max="1347" width="6.4140625" style="3"/>
    <col min="1348" max="1348" width="6.4140625" style="2"/>
    <col min="1349" max="1349" width="6.4140625" style="3"/>
    <col min="1350" max="1351" width="6.4140625" style="2"/>
    <col min="1352" max="1352" width="6.4140625" style="1"/>
    <col min="1353" max="1353" width="6.4140625" style="2"/>
    <col min="1354" max="1354" width="6.4140625" style="3"/>
    <col min="1355" max="1355" width="6.4140625" style="2"/>
    <col min="1356" max="1356" width="6.4140625" style="3"/>
    <col min="1357" max="1358" width="6.4140625" style="2"/>
    <col min="1359" max="1359" width="6.4140625" style="1"/>
    <col min="1360" max="1360" width="6.4140625" style="2"/>
    <col min="1361" max="1361" width="6.4140625" style="3"/>
    <col min="1362" max="1362" width="6.4140625" style="2"/>
    <col min="1363" max="1363" width="6.4140625" style="3"/>
    <col min="1364" max="1365" width="6.4140625" style="2"/>
    <col min="1366" max="1366" width="6.4140625" style="1"/>
    <col min="1367" max="1367" width="6.4140625" style="2"/>
    <col min="1368" max="1368" width="6.4140625" style="3"/>
    <col min="1369" max="1369" width="6.4140625" style="2"/>
    <col min="1370" max="1370" width="6.4140625" style="3"/>
    <col min="1371" max="1372" width="6.4140625" style="2"/>
    <col min="1373" max="1373" width="6.4140625" style="1"/>
    <col min="1374" max="1374" width="6.4140625" style="2"/>
    <col min="1375" max="1375" width="6.4140625" style="3"/>
    <col min="1376" max="1376" width="6.4140625" style="2"/>
    <col min="1377" max="1377" width="6.4140625" style="3"/>
    <col min="1378" max="1379" width="6.4140625" style="2"/>
    <col min="1380" max="1380" width="6.4140625" style="1"/>
    <col min="1381" max="1381" width="6.4140625" style="2"/>
    <col min="1382" max="1382" width="6.4140625" style="3"/>
    <col min="1383" max="1383" width="6.4140625" style="2"/>
    <col min="1384" max="1384" width="6.4140625" style="3"/>
    <col min="1385" max="1386" width="6.4140625" style="2"/>
    <col min="1387" max="1387" width="6.4140625" style="1"/>
    <col min="1388" max="1388" width="6.4140625" style="2"/>
    <col min="1389" max="1389" width="6.4140625" style="3"/>
    <col min="1390" max="1390" width="6.4140625" style="2"/>
    <col min="1391" max="1391" width="6.4140625" style="3"/>
    <col min="1392" max="1393" width="6.4140625" style="2"/>
    <col min="1394" max="1394" width="6.4140625" style="1"/>
    <col min="1395" max="1395" width="6.4140625" style="2"/>
    <col min="1396" max="1396" width="6.4140625" style="3"/>
    <col min="1397" max="1397" width="6.4140625" style="2"/>
    <col min="1398" max="1398" width="6.4140625" style="3"/>
    <col min="1399" max="1400" width="6.4140625" style="2"/>
    <col min="1401" max="1401" width="6.4140625" style="1"/>
    <col min="1402" max="1402" width="6.4140625" style="2"/>
    <col min="1403" max="1403" width="6.4140625" style="3"/>
    <col min="1404" max="1404" width="6.4140625" style="2"/>
    <col min="1405" max="1405" width="6.4140625" style="3"/>
    <col min="1406" max="1407" width="6.4140625" style="2"/>
    <col min="1408" max="1408" width="6.4140625" style="1"/>
    <col min="1409" max="1409" width="6.4140625" style="2"/>
    <col min="1410" max="1410" width="6.4140625" style="3"/>
    <col min="1411" max="1411" width="6.4140625" style="2"/>
    <col min="1412" max="1412" width="6.4140625" style="3"/>
    <col min="1413" max="1414" width="6.4140625" style="2"/>
    <col min="1415" max="1415" width="6.4140625" style="1"/>
    <col min="1416" max="1416" width="6.4140625" style="2"/>
    <col min="1417" max="1417" width="6.4140625" style="3"/>
    <col min="1418" max="1418" width="6.4140625" style="2"/>
    <col min="1419" max="1419" width="6.4140625" style="3"/>
    <col min="1420" max="1421" width="6.4140625" style="2"/>
    <col min="1422" max="1422" width="6.4140625" style="1"/>
    <col min="1423" max="1423" width="6.4140625" style="2"/>
    <col min="1424" max="1424" width="6.4140625" style="3"/>
    <col min="1425" max="1425" width="6.4140625" style="2"/>
    <col min="1426" max="1426" width="6.4140625" style="3"/>
    <col min="1427" max="1428" width="6.4140625" style="2"/>
    <col min="1429" max="1429" width="6.4140625" style="1"/>
    <col min="1430" max="1430" width="6.4140625" style="2"/>
    <col min="1431" max="1431" width="6.4140625" style="3"/>
    <col min="1432" max="1432" width="6.4140625" style="2"/>
    <col min="1433" max="1433" width="6.4140625" style="3"/>
    <col min="1434" max="1435" width="6.4140625" style="2"/>
    <col min="1436" max="1436" width="6.4140625" style="1"/>
    <col min="1437" max="1437" width="6.4140625" style="2"/>
    <col min="1438" max="1438" width="6.4140625" style="3"/>
    <col min="1439" max="1439" width="6.4140625" style="2"/>
    <col min="1440" max="1440" width="6.4140625" style="3"/>
    <col min="1441" max="1442" width="6.4140625" style="2"/>
    <col min="1443" max="1443" width="6.4140625" style="1"/>
    <col min="1444" max="1444" width="6.4140625" style="2"/>
    <col min="1445" max="1445" width="6.4140625" style="3"/>
    <col min="1446" max="1446" width="6.4140625" style="2"/>
    <col min="1447" max="1447" width="6.4140625" style="3"/>
    <col min="1448" max="1449" width="6.4140625" style="2"/>
    <col min="1450" max="1450" width="6.4140625" style="1"/>
    <col min="1451" max="1451" width="6.4140625" style="2"/>
    <col min="1452" max="1452" width="6.4140625" style="3"/>
    <col min="1453" max="1453" width="6.4140625" style="2"/>
    <col min="1454" max="1454" width="6.4140625" style="3"/>
    <col min="1455" max="1456" width="6.4140625" style="2"/>
    <col min="1457" max="1457" width="6.4140625" style="1"/>
    <col min="1458" max="1458" width="6.4140625" style="2"/>
    <col min="1459" max="1459" width="6.4140625" style="3"/>
    <col min="1460" max="1460" width="6.4140625" style="2"/>
    <col min="1461" max="1461" width="6.4140625" style="3"/>
    <col min="1462" max="1463" width="6.4140625" style="2"/>
    <col min="1464" max="1464" width="6.4140625" style="1"/>
    <col min="1465" max="1465" width="6.4140625" style="2"/>
    <col min="1466" max="1466" width="6.4140625" style="3"/>
    <col min="1467" max="1467" width="6.4140625" style="2"/>
    <col min="1468" max="1468" width="6.4140625" style="3"/>
    <col min="1469" max="1470" width="6.4140625" style="2"/>
    <col min="1471" max="1471" width="6.4140625" style="1"/>
    <col min="1472" max="1472" width="6.4140625" style="2"/>
    <col min="1473" max="1473" width="6.4140625" style="3"/>
    <col min="1474" max="1474" width="6.4140625" style="2"/>
    <col min="1475" max="1475" width="6.4140625" style="3"/>
    <col min="1476" max="1477" width="6.4140625" style="2"/>
    <col min="1478" max="1478" width="6.4140625" style="1"/>
    <col min="1479" max="1479" width="6.4140625" style="2"/>
    <col min="1480" max="1480" width="6.4140625" style="3"/>
    <col min="1481" max="1481" width="6.4140625" style="2"/>
    <col min="1482" max="1482" width="6.4140625" style="3"/>
    <col min="1483" max="1484" width="6.4140625" style="2"/>
    <col min="1485" max="1485" width="6.4140625" style="1"/>
    <col min="1486" max="1486" width="6.4140625" style="2"/>
    <col min="1487" max="1487" width="6.4140625" style="3"/>
    <col min="1488" max="1488" width="6.4140625" style="2"/>
    <col min="1489" max="1489" width="6.4140625" style="3"/>
    <col min="1490" max="1491" width="6.4140625" style="2"/>
    <col min="1492" max="1492" width="6.4140625" style="1"/>
    <col min="1493" max="1493" width="6.4140625" style="2"/>
    <col min="1494" max="1494" width="6.4140625" style="3"/>
    <col min="1495" max="1495" width="6.4140625" style="2"/>
    <col min="1496" max="1496" width="6.4140625" style="3"/>
    <col min="1497" max="1498" width="6.4140625" style="2"/>
    <col min="1499" max="1499" width="6.4140625" style="1"/>
    <col min="1500" max="1500" width="6.4140625" style="2"/>
    <col min="1501" max="1501" width="6.4140625" style="3"/>
    <col min="1502" max="1502" width="6.4140625" style="2"/>
    <col min="1503" max="1503" width="6.4140625" style="3"/>
    <col min="1504" max="1505" width="6.4140625" style="2"/>
    <col min="1506" max="1506" width="6.4140625" style="1"/>
    <col min="1507" max="1507" width="6.4140625" style="2"/>
    <col min="1508" max="1508" width="6.4140625" style="3"/>
    <col min="1509" max="1509" width="6.4140625" style="2"/>
    <col min="1510" max="1510" width="6.4140625" style="3"/>
    <col min="1511" max="1512" width="6.4140625" style="2"/>
    <col min="1513" max="1513" width="6.4140625" style="1"/>
    <col min="1514" max="1514" width="6.4140625" style="2"/>
    <col min="1515" max="1515" width="6.4140625" style="3"/>
    <col min="1516" max="1516" width="6.4140625" style="2"/>
    <col min="1517" max="1517" width="6.4140625" style="3"/>
    <col min="1518" max="1519" width="6.4140625" style="2"/>
    <col min="1520" max="1520" width="6.4140625" style="1"/>
    <col min="1521" max="1521" width="6.4140625" style="2"/>
    <col min="1522" max="1522" width="6.4140625" style="3"/>
    <col min="1523" max="1523" width="6.4140625" style="2"/>
    <col min="1524" max="1524" width="6.4140625" style="3"/>
    <col min="1525" max="1526" width="6.4140625" style="2"/>
    <col min="1527" max="1527" width="6.4140625" style="1"/>
    <col min="1528" max="1528" width="6.4140625" style="2"/>
    <col min="1529" max="1529" width="6.4140625" style="3"/>
    <col min="1530" max="1530" width="6.4140625" style="2"/>
    <col min="1531" max="1531" width="6.4140625" style="3"/>
    <col min="1532" max="1533" width="6.4140625" style="2"/>
    <col min="1534" max="1534" width="6.4140625" style="1"/>
    <col min="1535" max="1535" width="6.4140625" style="2"/>
    <col min="1536" max="1536" width="6.4140625" style="3"/>
    <col min="1537" max="1537" width="6.4140625" style="2"/>
    <col min="1538" max="1538" width="6.4140625" style="3"/>
    <col min="1539" max="1540" width="6.4140625" style="2"/>
    <col min="1541" max="1541" width="6.4140625" style="1"/>
    <col min="1542" max="1542" width="6.4140625" style="2"/>
    <col min="1543" max="1543" width="6.4140625" style="3"/>
    <col min="1544" max="1544" width="6.4140625" style="2"/>
    <col min="1545" max="1545" width="6.4140625" style="3"/>
    <col min="1546" max="1547" width="6.4140625" style="2"/>
    <col min="1548" max="1548" width="6.4140625" style="1"/>
    <col min="1549" max="1549" width="6.4140625" style="2"/>
    <col min="1550" max="1550" width="6.4140625" style="3"/>
    <col min="1551" max="1551" width="6.4140625" style="2"/>
    <col min="1552" max="1552" width="6.4140625" style="3"/>
    <col min="1553" max="1554" width="6.4140625" style="2"/>
    <col min="1555" max="1555" width="6.4140625" style="1"/>
    <col min="1556" max="1556" width="6.4140625" style="2"/>
    <col min="1557" max="1557" width="6.4140625" style="3"/>
    <col min="1558" max="1558" width="6.4140625" style="2"/>
    <col min="1559" max="1559" width="6.4140625" style="3"/>
    <col min="1560" max="1561" width="6.4140625" style="2"/>
    <col min="1562" max="1562" width="6.4140625" style="1"/>
    <col min="1563" max="1563" width="6.4140625" style="2"/>
    <col min="1564" max="1564" width="6.4140625" style="3"/>
    <col min="1565" max="1565" width="6.4140625" style="2"/>
    <col min="1566" max="1566" width="6.4140625" style="3"/>
    <col min="1567" max="1568" width="6.4140625" style="2"/>
    <col min="1569" max="1569" width="6.4140625" style="1"/>
    <col min="1570" max="1570" width="6.4140625" style="2"/>
    <col min="1571" max="1571" width="6.4140625" style="3"/>
    <col min="1572" max="1572" width="6.4140625" style="2"/>
    <col min="1573" max="1573" width="6.4140625" style="3"/>
    <col min="1574" max="1575" width="6.4140625" style="2"/>
    <col min="1576" max="1576" width="6.4140625" style="1"/>
    <col min="1577" max="1577" width="6.4140625" style="2"/>
    <col min="1578" max="1578" width="6.4140625" style="3"/>
    <col min="1579" max="1579" width="6.4140625" style="2"/>
    <col min="1580" max="1580" width="6.4140625" style="3"/>
    <col min="1581" max="1582" width="6.4140625" style="2"/>
    <col min="1583" max="1583" width="6.4140625" style="1"/>
    <col min="1584" max="1584" width="6.4140625" style="2"/>
    <col min="1585" max="1585" width="6.4140625" style="3"/>
    <col min="1586" max="1586" width="6.4140625" style="2"/>
    <col min="1587" max="1587" width="6.4140625" style="3"/>
    <col min="1588" max="1589" width="6.4140625" style="2"/>
    <col min="1590" max="1590" width="6.4140625" style="1"/>
    <col min="1591" max="1591" width="6.4140625" style="2"/>
    <col min="1592" max="1592" width="6.4140625" style="3"/>
    <col min="1593" max="1593" width="6.4140625" style="2"/>
    <col min="1594" max="1594" width="6.4140625" style="3"/>
    <col min="1595" max="1596" width="6.4140625" style="2"/>
    <col min="1597" max="1597" width="6.4140625" style="1"/>
    <col min="1598" max="1598" width="6.4140625" style="2"/>
    <col min="1599" max="1599" width="6.4140625" style="3"/>
    <col min="1600" max="1600" width="6.4140625" style="2"/>
    <col min="1601" max="1601" width="6.4140625" style="3"/>
    <col min="1602" max="1603" width="6.4140625" style="2"/>
    <col min="1604" max="1604" width="6.4140625" style="1"/>
    <col min="1605" max="1605" width="6.4140625" style="2"/>
    <col min="1606" max="1606" width="6.4140625" style="3"/>
    <col min="1607" max="1607" width="6.4140625" style="2"/>
    <col min="1608" max="1608" width="6.4140625" style="3"/>
    <col min="1609" max="1610" width="6.4140625" style="2"/>
    <col min="1611" max="1611" width="6.4140625" style="1"/>
    <col min="1612" max="1612" width="6.4140625" style="2"/>
    <col min="1613" max="1613" width="6.4140625" style="3"/>
    <col min="1614" max="1614" width="6.4140625" style="2"/>
    <col min="1615" max="1615" width="6.4140625" style="3"/>
    <col min="1616" max="1617" width="6.4140625" style="2"/>
    <col min="1618" max="1618" width="6.4140625" style="1"/>
    <col min="1619" max="1619" width="6.4140625" style="2"/>
    <col min="1620" max="1620" width="6.4140625" style="3"/>
    <col min="1621" max="1621" width="6.4140625" style="2"/>
    <col min="1622" max="1622" width="6.4140625" style="3"/>
    <col min="1623" max="1624" width="6.4140625" style="2"/>
    <col min="1625" max="1625" width="6.4140625" style="1"/>
    <col min="1626" max="1626" width="6.4140625" style="2"/>
    <col min="1627" max="1627" width="6.4140625" style="3"/>
    <col min="1628" max="1628" width="6.4140625" style="2"/>
    <col min="1629" max="1629" width="6.4140625" style="3"/>
    <col min="1630" max="1631" width="6.4140625" style="2"/>
    <col min="1632" max="1632" width="6.4140625" style="1"/>
    <col min="1633" max="1633" width="6.4140625" style="2"/>
    <col min="1634" max="1634" width="6.4140625" style="3"/>
    <col min="1635" max="1635" width="6.4140625" style="2"/>
    <col min="1636" max="1636" width="6.4140625" style="3"/>
    <col min="1637" max="1638" width="6.4140625" style="2"/>
    <col min="1639" max="1639" width="6.4140625" style="1"/>
    <col min="1640" max="1640" width="6.4140625" style="2"/>
    <col min="1641" max="1641" width="6.4140625" style="3"/>
    <col min="1642" max="1642" width="6.4140625" style="2"/>
    <col min="1643" max="1643" width="6.4140625" style="3"/>
    <col min="1644" max="1645" width="6.4140625" style="2"/>
    <col min="1646" max="1646" width="6.4140625" style="1"/>
    <col min="1647" max="1647" width="6.4140625" style="2"/>
    <col min="1648" max="1648" width="6.4140625" style="3"/>
    <col min="1649" max="1649" width="6.4140625" style="2"/>
    <col min="1650" max="1650" width="6.4140625" style="3"/>
    <col min="1651" max="1652" width="6.4140625" style="2"/>
    <col min="1653" max="1653" width="6.4140625" style="1"/>
    <col min="1654" max="1654" width="6.4140625" style="2"/>
    <col min="1655" max="1655" width="6.4140625" style="3"/>
    <col min="1656" max="1656" width="6.4140625" style="2"/>
    <col min="1657" max="1657" width="6.4140625" style="3"/>
    <col min="1658" max="1659" width="6.4140625" style="2"/>
    <col min="1660" max="1660" width="6.4140625" style="1"/>
    <col min="1661" max="1661" width="6.4140625" style="2"/>
    <col min="1662" max="1662" width="6.4140625" style="3"/>
    <col min="1663" max="1663" width="6.4140625" style="2"/>
    <col min="1664" max="1664" width="6.4140625" style="3"/>
    <col min="1665" max="1666" width="6.4140625" style="2"/>
    <col min="1667" max="1667" width="6.4140625" style="1"/>
    <col min="1668" max="1668" width="6.4140625" style="2"/>
    <col min="1669" max="1669" width="6.4140625" style="3"/>
    <col min="1670" max="1670" width="6.4140625" style="2"/>
    <col min="1671" max="1671" width="6.4140625" style="3"/>
    <col min="1672" max="1673" width="6.4140625" style="2"/>
    <col min="1674" max="1674" width="6.4140625" style="1"/>
    <col min="1675" max="1675" width="6.4140625" style="2"/>
    <col min="1676" max="1676" width="6.4140625" style="3"/>
    <col min="1677" max="1677" width="6.4140625" style="2"/>
    <col min="1678" max="1678" width="6.4140625" style="3"/>
    <col min="1679" max="1680" width="6.4140625" style="2"/>
    <col min="1681" max="1681" width="6.4140625" style="1"/>
    <col min="1682" max="1682" width="6.4140625" style="2"/>
    <col min="1683" max="1683" width="6.4140625" style="3"/>
    <col min="1684" max="1684" width="6.4140625" style="2"/>
    <col min="1685" max="1685" width="6.4140625" style="3"/>
    <col min="1686" max="1687" width="6.4140625" style="2"/>
    <col min="1688" max="1688" width="6.4140625" style="1"/>
    <col min="1689" max="1689" width="6.4140625" style="2"/>
    <col min="1690" max="1690" width="6.4140625" style="3"/>
    <col min="1691" max="1691" width="6.4140625" style="2"/>
    <col min="1692" max="1692" width="6.4140625" style="3"/>
    <col min="1693" max="1694" width="6.4140625" style="2"/>
    <col min="1695" max="1695" width="6.4140625" style="1"/>
    <col min="1696" max="1696" width="6.4140625" style="2"/>
    <col min="1697" max="1697" width="6.4140625" style="3"/>
    <col min="1698" max="1698" width="6.4140625" style="2"/>
    <col min="1699" max="1699" width="6.4140625" style="3"/>
    <col min="1700" max="1701" width="6.4140625" style="2"/>
    <col min="1702" max="1702" width="6.4140625" style="1"/>
    <col min="1703" max="1703" width="6.4140625" style="2"/>
    <col min="1704" max="1704" width="6.4140625" style="3"/>
    <col min="1705" max="1705" width="6.4140625" style="2"/>
    <col min="1706" max="1706" width="6.4140625" style="3"/>
    <col min="1707" max="1708" width="6.4140625" style="2"/>
    <col min="1709" max="1709" width="6.4140625" style="1"/>
    <col min="1710" max="1710" width="6.4140625" style="2"/>
    <col min="1711" max="1711" width="6.4140625" style="3"/>
    <col min="1712" max="1712" width="6.4140625" style="2"/>
    <col min="1713" max="1713" width="6.4140625" style="3"/>
    <col min="1714" max="1715" width="6.4140625" style="2"/>
    <col min="1716" max="1716" width="6.4140625" style="1"/>
    <col min="1717" max="1717" width="6.4140625" style="2"/>
    <col min="1718" max="1718" width="6.4140625" style="3"/>
    <col min="1719" max="1719" width="6.4140625" style="2"/>
    <col min="1720" max="1720" width="6.4140625" style="3"/>
    <col min="1721" max="1722" width="6.4140625" style="2"/>
    <col min="1723" max="1723" width="6.4140625" style="1"/>
    <col min="1724" max="1724" width="6.4140625" style="2"/>
    <col min="1725" max="1725" width="6.4140625" style="3"/>
    <col min="1726" max="1726" width="6.4140625" style="2"/>
    <col min="1727" max="1727" width="6.4140625" style="3"/>
    <col min="1728" max="1729" width="6.4140625" style="2"/>
    <col min="1730" max="1730" width="6.4140625" style="1"/>
    <col min="1731" max="1731" width="6.4140625" style="2"/>
    <col min="1732" max="1732" width="6.4140625" style="3"/>
    <col min="1733" max="1733" width="6.4140625" style="2"/>
    <col min="1734" max="1734" width="6.4140625" style="3"/>
    <col min="1735" max="1736" width="6.4140625" style="2"/>
    <col min="1737" max="1737" width="6.4140625" style="1"/>
    <col min="1738" max="1738" width="6.4140625" style="2"/>
    <col min="1739" max="1739" width="6.4140625" style="3"/>
    <col min="1740" max="1740" width="6.4140625" style="2"/>
    <col min="1741" max="1741" width="6.4140625" style="3"/>
    <col min="1742" max="1743" width="6.4140625" style="2"/>
    <col min="1744" max="1744" width="6.4140625" style="1"/>
    <col min="1745" max="1745" width="6.4140625" style="2"/>
    <col min="1746" max="1746" width="6.4140625" style="3"/>
    <col min="1747" max="1747" width="6.4140625" style="2"/>
    <col min="1748" max="1748" width="6.4140625" style="3"/>
    <col min="1749" max="1750" width="6.4140625" style="2"/>
    <col min="1751" max="1751" width="6.4140625" style="1"/>
    <col min="1752" max="1752" width="6.4140625" style="2"/>
    <col min="1753" max="1753" width="6.4140625" style="3"/>
    <col min="1754" max="1754" width="6.4140625" style="2"/>
    <col min="1755" max="1755" width="6.4140625" style="3"/>
    <col min="1756" max="1757" width="6.4140625" style="2"/>
    <col min="1758" max="1758" width="6.4140625" style="1"/>
    <col min="1759" max="1759" width="6.4140625" style="2"/>
    <col min="1760" max="1760" width="6.4140625" style="3"/>
    <col min="1761" max="1761" width="6.4140625" style="2"/>
    <col min="1762" max="1762" width="6.4140625" style="3"/>
    <col min="1763" max="1764" width="6.4140625" style="2"/>
    <col min="1765" max="1765" width="6.4140625" style="1"/>
    <col min="1766" max="1766" width="6.4140625" style="2"/>
    <col min="1767" max="1767" width="6.4140625" style="3"/>
    <col min="1768" max="1768" width="6.4140625" style="2"/>
    <col min="1769" max="1769" width="6.4140625" style="3"/>
    <col min="1770" max="1771" width="6.4140625" style="2"/>
    <col min="1772" max="1772" width="6.4140625" style="1"/>
    <col min="1773" max="1773" width="6.4140625" style="2"/>
    <col min="1774" max="1774" width="6.4140625" style="3"/>
    <col min="1775" max="1775" width="6.4140625" style="2"/>
    <col min="1776" max="1776" width="6.4140625" style="3"/>
    <col min="1777" max="1778" width="6.4140625" style="2"/>
    <col min="1779" max="1779" width="6.4140625" style="1"/>
    <col min="1780" max="1780" width="6.4140625" style="2"/>
    <col min="1781" max="1781" width="6.4140625" style="3"/>
    <col min="1782" max="1782" width="6.4140625" style="2"/>
    <col min="1783" max="1783" width="6.4140625" style="3"/>
    <col min="1784" max="1785" width="6.4140625" style="2"/>
    <col min="1786" max="1786" width="6.4140625" style="1"/>
    <col min="1787" max="1787" width="6.4140625" style="2"/>
    <col min="1788" max="1788" width="6.4140625" style="3"/>
    <col min="1789" max="1789" width="6.4140625" style="2"/>
    <col min="1790" max="1790" width="6.4140625" style="3"/>
    <col min="1791" max="1792" width="6.4140625" style="2"/>
    <col min="1793" max="1793" width="6.4140625" style="1"/>
    <col min="1794" max="1794" width="6.4140625" style="2"/>
    <col min="1795" max="1795" width="6.4140625" style="3"/>
    <col min="1796" max="1796" width="6.4140625" style="2"/>
    <col min="1797" max="1797" width="6.4140625" style="3"/>
    <col min="1798" max="1799" width="6.4140625" style="2"/>
    <col min="1800" max="1800" width="6.4140625" style="1"/>
    <col min="1801" max="1801" width="6.4140625" style="2"/>
    <col min="1802" max="1802" width="6.4140625" style="3"/>
    <col min="1803" max="1803" width="6.4140625" style="2"/>
    <col min="1804" max="1804" width="6.4140625" style="3"/>
    <col min="1805" max="1806" width="6.4140625" style="2"/>
    <col min="1807" max="1807" width="6.4140625" style="1"/>
    <col min="1808" max="1808" width="6.4140625" style="2"/>
    <col min="1809" max="1809" width="6.4140625" style="3"/>
    <col min="1810" max="1810" width="6.4140625" style="2"/>
    <col min="1811" max="1811" width="6.4140625" style="3"/>
    <col min="1812" max="1813" width="6.4140625" style="2"/>
    <col min="1814" max="1814" width="6.4140625" style="1"/>
    <col min="1815" max="1815" width="6.4140625" style="2"/>
    <col min="1816" max="1816" width="6.4140625" style="3"/>
    <col min="1817" max="1817" width="6.4140625" style="2"/>
    <col min="1818" max="1818" width="6.4140625" style="3"/>
    <col min="1819" max="1820" width="6.4140625" style="2"/>
    <col min="1821" max="1821" width="6.4140625" style="1"/>
    <col min="1822" max="1822" width="6.4140625" style="2"/>
    <col min="1823" max="1823" width="6.4140625" style="3"/>
    <col min="1824" max="1824" width="6.4140625" style="2"/>
    <col min="1825" max="1825" width="6.4140625" style="3"/>
    <col min="1826" max="1827" width="6.4140625" style="2"/>
    <col min="1828" max="1828" width="6.4140625" style="1"/>
    <col min="1829" max="1829" width="6.4140625" style="2"/>
    <col min="1830" max="1830" width="6.4140625" style="3"/>
    <col min="1831" max="1831" width="6.4140625" style="2"/>
    <col min="1832" max="1832" width="6.4140625" style="3"/>
    <col min="1833" max="1834" width="6.4140625" style="2"/>
    <col min="1835" max="1835" width="6.4140625" style="1"/>
    <col min="1836" max="1836" width="6.4140625" style="2"/>
    <col min="1837" max="1837" width="6.4140625" style="3"/>
    <col min="1838" max="1838" width="6.4140625" style="2"/>
    <col min="1839" max="1839" width="6.4140625" style="3"/>
    <col min="1840" max="1841" width="6.4140625" style="2"/>
    <col min="1842" max="1842" width="6.4140625" style="1"/>
    <col min="1843" max="1843" width="6.4140625" style="2"/>
    <col min="1844" max="1844" width="6.4140625" style="3"/>
    <col min="1845" max="1845" width="6.4140625" style="2"/>
    <col min="1846" max="1846" width="6.4140625" style="3"/>
    <col min="1847" max="1848" width="6.4140625" style="2"/>
    <col min="1849" max="1849" width="6.4140625" style="1"/>
    <col min="1850" max="1850" width="6.4140625" style="2"/>
    <col min="1851" max="1851" width="6.4140625" style="3"/>
    <col min="1852" max="1852" width="6.4140625" style="2"/>
    <col min="1853" max="1853" width="6.4140625" style="3"/>
    <col min="1854" max="1855" width="6.4140625" style="2"/>
    <col min="1856" max="1856" width="6.4140625" style="1"/>
    <col min="1857" max="1857" width="6.4140625" style="2"/>
    <col min="1858" max="1858" width="6.4140625" style="3"/>
    <col min="1859" max="1859" width="6.4140625" style="2"/>
    <col min="1860" max="1860" width="6.4140625" style="3"/>
    <col min="1861" max="1862" width="6.4140625" style="2"/>
    <col min="1863" max="1863" width="6.4140625" style="1"/>
    <col min="1864" max="1864" width="6.4140625" style="2"/>
    <col min="1865" max="1865" width="6.4140625" style="3"/>
    <col min="1866" max="1866" width="6.4140625" style="2"/>
    <col min="1867" max="1867" width="6.4140625" style="3"/>
    <col min="1868" max="1869" width="6.4140625" style="2"/>
    <col min="1870" max="1870" width="6.4140625" style="1"/>
    <col min="1871" max="1871" width="6.4140625" style="2"/>
    <col min="1872" max="1872" width="6.4140625" style="3"/>
    <col min="1873" max="1873" width="6.4140625" style="2"/>
    <col min="1874" max="1874" width="6.4140625" style="3"/>
    <col min="1875" max="1876" width="6.4140625" style="2"/>
    <col min="1877" max="1877" width="6.4140625" style="1"/>
    <col min="1878" max="1878" width="6.4140625" style="2"/>
    <col min="1879" max="1879" width="6.4140625" style="3"/>
    <col min="1880" max="1880" width="6.4140625" style="2"/>
    <col min="1881" max="1881" width="6.4140625" style="3"/>
    <col min="1882" max="1883" width="6.4140625" style="2"/>
    <col min="1884" max="1884" width="6.4140625" style="1"/>
    <col min="1885" max="1885" width="6.4140625" style="2"/>
    <col min="1886" max="1886" width="6.4140625" style="3"/>
    <col min="1887" max="1887" width="6.4140625" style="2"/>
    <col min="1888" max="1888" width="6.4140625" style="3"/>
    <col min="1889" max="1890" width="6.4140625" style="2"/>
    <col min="1891" max="1891" width="6.4140625" style="1"/>
    <col min="1892" max="1892" width="6.4140625" style="2"/>
    <col min="1893" max="1893" width="6.4140625" style="3"/>
    <col min="1894" max="1894" width="6.4140625" style="2"/>
    <col min="1895" max="1895" width="6.4140625" style="3"/>
    <col min="1896" max="1897" width="6.4140625" style="2"/>
    <col min="1898" max="1898" width="6.4140625" style="1"/>
    <col min="1899" max="1899" width="6.4140625" style="2"/>
    <col min="1900" max="1900" width="6.4140625" style="3"/>
    <col min="1901" max="1901" width="6.4140625" style="2"/>
    <col min="1902" max="1902" width="6.4140625" style="3"/>
    <col min="1903" max="1904" width="6.4140625" style="2"/>
    <col min="1905" max="1905" width="6.4140625" style="1"/>
    <col min="1906" max="1906" width="6.4140625" style="2"/>
    <col min="1907" max="1907" width="6.4140625" style="3"/>
    <col min="1908" max="1908" width="6.4140625" style="2"/>
    <col min="1909" max="1909" width="6.4140625" style="3"/>
    <col min="1910" max="1911" width="6.4140625" style="2"/>
    <col min="1912" max="1912" width="6.4140625" style="1"/>
    <col min="1913" max="1913" width="6.4140625" style="2"/>
    <col min="1914" max="1914" width="6.4140625" style="3"/>
    <col min="1915" max="1915" width="6.4140625" style="2"/>
    <col min="1916" max="1916" width="6.4140625" style="3"/>
    <col min="1917" max="1918" width="6.4140625" style="2"/>
    <col min="1919" max="1919" width="6.4140625" style="1"/>
    <col min="1920" max="1920" width="6.4140625" style="2"/>
    <col min="1921" max="1921" width="6.4140625" style="3"/>
    <col min="1922" max="1922" width="6.4140625" style="2"/>
    <col min="1923" max="1923" width="6.4140625" style="3"/>
    <col min="1924" max="1925" width="6.4140625" style="2"/>
    <col min="1926" max="1926" width="6.4140625" style="1"/>
    <col min="1927" max="1927" width="6.4140625" style="2"/>
    <col min="1928" max="1928" width="6.4140625" style="3"/>
    <col min="1929" max="1929" width="6.4140625" style="2"/>
    <col min="1930" max="1930" width="6.4140625" style="3"/>
    <col min="1931" max="1932" width="6.4140625" style="2"/>
    <col min="1933" max="1933" width="6.4140625" style="1"/>
    <col min="1934" max="1934" width="6.4140625" style="2"/>
    <col min="1935" max="1935" width="6.4140625" style="3"/>
    <col min="1936" max="1936" width="6.4140625" style="2"/>
    <col min="1937" max="1937" width="6.4140625" style="3"/>
    <col min="1938" max="1939" width="6.4140625" style="2"/>
    <col min="1940" max="1940" width="6.4140625" style="1"/>
    <col min="1941" max="1941" width="6.4140625" style="2"/>
    <col min="1942" max="1942" width="6.4140625" style="3"/>
    <col min="1943" max="1943" width="6.4140625" style="2"/>
    <col min="1944" max="1944" width="6.4140625" style="3"/>
    <col min="1945" max="1946" width="6.4140625" style="2"/>
    <col min="1947" max="1947" width="6.4140625" style="1"/>
    <col min="1948" max="1948" width="6.4140625" style="2"/>
    <col min="1949" max="1949" width="6.4140625" style="3"/>
    <col min="1950" max="1950" width="6.4140625" style="2"/>
    <col min="1951" max="1951" width="6.4140625" style="3"/>
    <col min="1952" max="1953" width="6.4140625" style="2"/>
    <col min="1954" max="1954" width="6.4140625" style="1"/>
    <col min="1955" max="1955" width="6.4140625" style="2"/>
    <col min="1956" max="1956" width="6.4140625" style="3"/>
    <col min="1957" max="1957" width="6.4140625" style="2"/>
    <col min="1958" max="1958" width="6.4140625" style="3"/>
    <col min="1959" max="1960" width="6.4140625" style="2"/>
    <col min="1961" max="1961" width="6.4140625" style="1"/>
    <col min="1962" max="1962" width="6.4140625" style="2"/>
    <col min="1963" max="1963" width="6.4140625" style="3"/>
    <col min="1964" max="1964" width="6.4140625" style="2"/>
    <col min="1965" max="1965" width="6.4140625" style="3"/>
    <col min="1966" max="1967" width="6.4140625" style="2"/>
    <col min="1968" max="1968" width="6.4140625" style="1"/>
    <col min="1969" max="1969" width="6.4140625" style="2"/>
    <col min="1970" max="1970" width="6.4140625" style="3"/>
    <col min="1971" max="1971" width="6.4140625" style="2"/>
    <col min="1972" max="1972" width="6.4140625" style="3"/>
    <col min="1973" max="1974" width="6.4140625" style="2"/>
    <col min="1975" max="1975" width="6.4140625" style="1"/>
    <col min="1976" max="1976" width="6.4140625" style="2"/>
    <col min="1977" max="1977" width="6.4140625" style="3"/>
    <col min="1978" max="1978" width="6.4140625" style="2"/>
    <col min="1979" max="1979" width="6.4140625" style="3"/>
    <col min="1980" max="1981" width="6.4140625" style="2"/>
    <col min="1982" max="1982" width="6.4140625" style="1"/>
    <col min="1983" max="1983" width="6.4140625" style="2"/>
    <col min="1984" max="1984" width="6.4140625" style="3"/>
    <col min="1985" max="1985" width="6.4140625" style="2"/>
    <col min="1986" max="1986" width="6.4140625" style="3"/>
    <col min="1987" max="1988" width="6.4140625" style="2"/>
    <col min="1989" max="1989" width="6.4140625" style="1"/>
    <col min="1990" max="1990" width="6.4140625" style="2"/>
    <col min="1991" max="1991" width="6.4140625" style="3"/>
    <col min="1992" max="1992" width="6.4140625" style="2"/>
    <col min="1993" max="1993" width="6.4140625" style="3"/>
    <col min="1994" max="1995" width="6.4140625" style="2"/>
    <col min="1996" max="1996" width="6.4140625" style="1"/>
    <col min="1997" max="1997" width="6.4140625" style="2"/>
    <col min="1998" max="1998" width="6.4140625" style="3"/>
    <col min="1999" max="1999" width="6.4140625" style="2"/>
    <col min="2000" max="2000" width="6.4140625" style="3"/>
    <col min="2001" max="2002" width="6.4140625" style="2"/>
    <col min="2003" max="2003" width="6.4140625" style="1"/>
    <col min="2004" max="2004" width="6.4140625" style="2"/>
    <col min="2005" max="2005" width="6.4140625" style="3"/>
    <col min="2006" max="2006" width="6.4140625" style="2"/>
    <col min="2007" max="2007" width="6.4140625" style="3"/>
    <col min="2008" max="2009" width="6.4140625" style="2"/>
    <col min="2010" max="2010" width="6.4140625" style="1"/>
    <col min="2011" max="2011" width="6.4140625" style="2"/>
    <col min="2012" max="2012" width="6.4140625" style="3"/>
    <col min="2013" max="2013" width="6.4140625" style="2"/>
    <col min="2014" max="2014" width="6.4140625" style="3"/>
    <col min="2015" max="2016" width="6.4140625" style="2"/>
    <col min="2017" max="2017" width="6.4140625" style="1"/>
    <col min="2018" max="2018" width="6.4140625" style="2"/>
    <col min="2019" max="2019" width="6.4140625" style="3"/>
    <col min="2020" max="2020" width="6.4140625" style="2"/>
    <col min="2021" max="2021" width="6.4140625" style="3"/>
    <col min="2022" max="2023" width="6.4140625" style="2"/>
    <col min="2024" max="2024" width="6.4140625" style="1"/>
    <col min="2025" max="2025" width="6.4140625" style="2"/>
    <col min="2026" max="2026" width="6.4140625" style="3"/>
    <col min="2027" max="2027" width="6.4140625" style="2"/>
    <col min="2028" max="2028" width="6.4140625" style="3"/>
    <col min="2029" max="2030" width="6.4140625" style="2"/>
    <col min="2031" max="2031" width="6.4140625" style="1"/>
    <col min="2032" max="2032" width="6.4140625" style="2"/>
    <col min="2033" max="2033" width="6.4140625" style="3"/>
    <col min="2034" max="2034" width="6.4140625" style="2"/>
    <col min="2035" max="2035" width="6.4140625" style="3"/>
    <col min="2036" max="2037" width="6.4140625" style="2"/>
    <col min="2038" max="2038" width="6.4140625" style="1"/>
    <col min="2039" max="2039" width="6.4140625" style="2"/>
    <col min="2040" max="2040" width="6.4140625" style="3"/>
    <col min="2041" max="2041" width="6.4140625" style="2"/>
    <col min="2042" max="2042" width="6.4140625" style="3"/>
    <col min="2043" max="2044" width="6.4140625" style="2"/>
    <col min="2045" max="2045" width="6.4140625" style="1"/>
    <col min="2046" max="2046" width="6.4140625" style="2"/>
    <col min="2047" max="2047" width="6.4140625" style="3"/>
    <col min="2048" max="2048" width="6.4140625" style="2"/>
    <col min="2049" max="2049" width="6.4140625" style="3"/>
    <col min="2050" max="2051" width="6.4140625" style="2"/>
    <col min="2052" max="2052" width="6.4140625" style="1"/>
    <col min="2053" max="2053" width="6.4140625" style="2"/>
    <col min="2054" max="2054" width="6.4140625" style="3"/>
    <col min="2055" max="2055" width="6.4140625" style="2"/>
    <col min="2056" max="2056" width="6.4140625" style="3"/>
    <col min="2057" max="2058" width="6.4140625" style="2"/>
    <col min="2059" max="2059" width="6.4140625" style="1"/>
    <col min="2060" max="2060" width="6.4140625" style="2"/>
    <col min="2061" max="2061" width="6.4140625" style="3"/>
    <col min="2062" max="2062" width="6.4140625" style="2"/>
    <col min="2063" max="2063" width="6.4140625" style="3"/>
    <col min="2064" max="2065" width="6.4140625" style="2"/>
    <col min="2066" max="2066" width="6.4140625" style="1"/>
    <col min="2067" max="2067" width="6.4140625" style="2"/>
    <col min="2068" max="2068" width="6.4140625" style="3"/>
    <col min="2069" max="2069" width="6.4140625" style="2"/>
    <col min="2070" max="2070" width="6.4140625" style="3"/>
    <col min="2071" max="2072" width="6.4140625" style="2"/>
    <col min="2073" max="2073" width="6.4140625" style="1"/>
    <col min="2074" max="2074" width="6.4140625" style="2"/>
    <col min="2075" max="2075" width="6.4140625" style="3"/>
    <col min="2076" max="2076" width="6.4140625" style="2"/>
    <col min="2077" max="2077" width="6.4140625" style="3"/>
    <col min="2078" max="2079" width="6.4140625" style="2"/>
    <col min="2080" max="2080" width="6.4140625" style="1"/>
    <col min="2081" max="2081" width="6.4140625" style="2"/>
    <col min="2082" max="2082" width="6.4140625" style="3"/>
    <col min="2083" max="2083" width="6.4140625" style="2"/>
    <col min="2084" max="2084" width="6.4140625" style="3"/>
    <col min="2085" max="2086" width="6.4140625" style="2"/>
    <col min="2087" max="2087" width="6.4140625" style="1"/>
    <col min="2088" max="2088" width="6.4140625" style="2"/>
    <col min="2089" max="2089" width="6.4140625" style="3"/>
    <col min="2090" max="2090" width="6.4140625" style="2"/>
    <col min="2091" max="2091" width="6.4140625" style="3"/>
    <col min="2092" max="2093" width="6.4140625" style="2"/>
    <col min="2094" max="2094" width="6.4140625" style="1"/>
    <col min="2095" max="2095" width="6.4140625" style="2"/>
    <col min="2096" max="2096" width="6.4140625" style="3"/>
    <col min="2097" max="2097" width="6.4140625" style="2"/>
    <col min="2098" max="2098" width="6.4140625" style="3"/>
    <col min="2099" max="2100" width="6.4140625" style="2"/>
    <col min="2101" max="2101" width="6.4140625" style="1"/>
    <col min="2102" max="2102" width="6.4140625" style="2"/>
    <col min="2103" max="2103" width="6.4140625" style="3"/>
    <col min="2104" max="2104" width="6.4140625" style="2"/>
    <col min="2105" max="2105" width="6.4140625" style="3"/>
    <col min="2106" max="2107" width="6.4140625" style="2"/>
    <col min="2108" max="2108" width="6.4140625" style="1"/>
    <col min="2109" max="2109" width="6.4140625" style="2"/>
    <col min="2110" max="2110" width="6.4140625" style="3"/>
    <col min="2111" max="2111" width="6.4140625" style="2"/>
    <col min="2112" max="2112" width="6.4140625" style="3"/>
    <col min="2113" max="2114" width="6.4140625" style="2"/>
    <col min="2115" max="2115" width="6.4140625" style="1"/>
    <col min="2116" max="2116" width="6.4140625" style="2"/>
    <col min="2117" max="2117" width="6.4140625" style="3"/>
    <col min="2118" max="2118" width="6.4140625" style="2"/>
    <col min="2119" max="2119" width="6.4140625" style="3"/>
    <col min="2120" max="2121" width="6.4140625" style="2"/>
    <col min="2122" max="2122" width="6.4140625" style="1"/>
    <col min="2123" max="2123" width="6.4140625" style="2"/>
    <col min="2124" max="2124" width="6.4140625" style="3"/>
    <col min="2125" max="2125" width="6.4140625" style="2"/>
    <col min="2126" max="2126" width="6.4140625" style="3"/>
    <col min="2127" max="2128" width="6.4140625" style="2"/>
    <col min="2129" max="2129" width="6.4140625" style="1"/>
    <col min="2130" max="2130" width="6.4140625" style="2"/>
    <col min="2131" max="2131" width="6.4140625" style="3"/>
    <col min="2132" max="2132" width="6.4140625" style="2"/>
    <col min="2133" max="2133" width="6.4140625" style="3"/>
    <col min="2134" max="2135" width="6.4140625" style="2"/>
    <col min="2136" max="2136" width="6.4140625" style="1"/>
    <col min="2137" max="2137" width="6.4140625" style="2"/>
    <col min="2138" max="2138" width="6.4140625" style="3"/>
    <col min="2139" max="2139" width="6.4140625" style="2"/>
    <col min="2140" max="2140" width="6.4140625" style="3"/>
    <col min="2141" max="2142" width="6.4140625" style="2"/>
    <col min="2143" max="2143" width="6.4140625" style="1"/>
    <col min="2144" max="2144" width="6.4140625" style="2"/>
    <col min="2145" max="2145" width="6.4140625" style="3"/>
    <col min="2146" max="2146" width="6.4140625" style="2"/>
    <col min="2147" max="2147" width="6.4140625" style="3"/>
    <col min="2148" max="2149" width="6.4140625" style="2"/>
    <col min="2150" max="2150" width="6.4140625" style="1"/>
    <col min="2151" max="2151" width="6.4140625" style="2"/>
    <col min="2152" max="2152" width="6.4140625" style="3"/>
    <col min="2153" max="2153" width="6.4140625" style="2"/>
    <col min="2154" max="2154" width="6.4140625" style="3"/>
    <col min="2155" max="2156" width="6.4140625" style="2"/>
    <col min="2157" max="2157" width="6.4140625" style="1"/>
    <col min="2158" max="2158" width="6.4140625" style="2"/>
    <col min="2159" max="2159" width="6.4140625" style="3"/>
    <col min="2160" max="2160" width="6.4140625" style="2"/>
    <col min="2161" max="2161" width="6.4140625" style="3"/>
    <col min="2162" max="2163" width="6.4140625" style="2"/>
    <col min="2164" max="2164" width="6.4140625" style="1"/>
    <col min="2165" max="2165" width="6.4140625" style="2"/>
    <col min="2166" max="2166" width="6.4140625" style="3"/>
    <col min="2167" max="2167" width="6.4140625" style="2"/>
    <col min="2168" max="2168" width="6.4140625" style="3"/>
    <col min="2169" max="2170" width="6.4140625" style="2"/>
    <col min="2171" max="2171" width="6.4140625" style="1"/>
    <col min="2172" max="2172" width="6.4140625" style="2"/>
    <col min="2173" max="2173" width="6.4140625" style="3"/>
    <col min="2174" max="2174" width="6.4140625" style="2"/>
    <col min="2175" max="2175" width="6.4140625" style="3"/>
    <col min="2176" max="2177" width="6.4140625" style="2"/>
    <col min="2178" max="2178" width="6.4140625" style="1"/>
    <col min="2179" max="2179" width="6.4140625" style="2"/>
    <col min="2180" max="2180" width="6.4140625" style="3"/>
    <col min="2181" max="2181" width="6.4140625" style="2"/>
    <col min="2182" max="2182" width="6.4140625" style="3"/>
    <col min="2183" max="2184" width="6.4140625" style="2"/>
    <col min="2185" max="2185" width="6.4140625" style="1"/>
    <col min="2186" max="2186" width="6.4140625" style="2"/>
    <col min="2187" max="2187" width="6.4140625" style="3"/>
    <col min="2188" max="2188" width="6.4140625" style="2"/>
    <col min="2189" max="2189" width="6.4140625" style="3"/>
    <col min="2190" max="2191" width="6.4140625" style="2"/>
    <col min="2192" max="2192" width="6.4140625" style="1"/>
    <col min="2193" max="2193" width="6.4140625" style="2"/>
    <col min="2194" max="2194" width="6.4140625" style="3"/>
    <col min="2195" max="2195" width="6.4140625" style="2"/>
    <col min="2196" max="2196" width="6.4140625" style="3"/>
    <col min="2197" max="2198" width="6.4140625" style="2"/>
    <col min="2199" max="2199" width="6.4140625" style="1"/>
    <col min="2200" max="2200" width="6.4140625" style="2"/>
    <col min="2201" max="2201" width="6.4140625" style="3"/>
    <col min="2202" max="2202" width="6.4140625" style="2"/>
    <col min="2203" max="2203" width="6.4140625" style="3"/>
    <col min="2204" max="2205" width="6.4140625" style="2"/>
    <col min="2206" max="2206" width="6.4140625" style="1"/>
    <col min="2207" max="2207" width="6.4140625" style="2"/>
    <col min="2208" max="2208" width="6.4140625" style="3"/>
    <col min="2209" max="2209" width="6.4140625" style="2"/>
    <col min="2210" max="2210" width="6.4140625" style="3"/>
    <col min="2211" max="2212" width="6.4140625" style="2"/>
    <col min="2213" max="2213" width="6.4140625" style="1"/>
    <col min="2214" max="2214" width="6.4140625" style="2"/>
    <col min="2215" max="2215" width="6.4140625" style="3"/>
    <col min="2216" max="2216" width="6.4140625" style="2"/>
    <col min="2217" max="2217" width="6.4140625" style="3"/>
    <col min="2218" max="2219" width="6.4140625" style="2"/>
    <col min="2220" max="2220" width="6.4140625" style="1"/>
    <col min="2221" max="2221" width="6.4140625" style="2"/>
    <col min="2222" max="2222" width="6.4140625" style="3"/>
    <col min="2223" max="2223" width="6.4140625" style="2"/>
    <col min="2224" max="2224" width="6.4140625" style="3"/>
    <col min="2225" max="2226" width="6.4140625" style="2"/>
    <col min="2227" max="2227" width="6.4140625" style="1"/>
    <col min="2228" max="2228" width="6.4140625" style="2"/>
    <col min="2229" max="2229" width="6.4140625" style="3"/>
    <col min="2230" max="2230" width="6.4140625" style="2"/>
    <col min="2231" max="2231" width="6.4140625" style="3"/>
    <col min="2232" max="2233" width="6.4140625" style="2"/>
    <col min="2234" max="2234" width="6.4140625" style="1"/>
    <col min="2235" max="2235" width="6.4140625" style="2"/>
    <col min="2236" max="2236" width="6.4140625" style="3"/>
    <col min="2237" max="2237" width="6.4140625" style="2"/>
    <col min="2238" max="2238" width="6.4140625" style="3"/>
    <col min="2239" max="2240" width="6.4140625" style="2"/>
    <col min="2241" max="2241" width="6.4140625" style="1"/>
    <col min="2242" max="2242" width="6.4140625" style="2"/>
    <col min="2243" max="2243" width="6.4140625" style="3"/>
    <col min="2244" max="2244" width="6.4140625" style="2"/>
    <col min="2245" max="2245" width="6.4140625" style="3"/>
    <col min="2246" max="2247" width="6.4140625" style="2"/>
    <col min="2248" max="2248" width="6.4140625" style="1"/>
    <col min="2249" max="2249" width="6.4140625" style="2"/>
    <col min="2250" max="2250" width="6.4140625" style="3"/>
    <col min="2251" max="2251" width="6.4140625" style="2"/>
    <col min="2252" max="2252" width="6.4140625" style="3"/>
    <col min="2253" max="2254" width="6.4140625" style="2"/>
    <col min="2255" max="2255" width="6.4140625" style="1"/>
    <col min="2256" max="2256" width="6.4140625" style="2"/>
    <col min="2257" max="2257" width="6.4140625" style="3"/>
    <col min="2258" max="2258" width="6.4140625" style="2"/>
    <col min="2259" max="2259" width="6.4140625" style="3"/>
    <col min="2260" max="2261" width="6.4140625" style="2"/>
    <col min="2262" max="2262" width="6.4140625" style="1"/>
    <col min="2263" max="2263" width="6.4140625" style="2"/>
    <col min="2264" max="2264" width="6.4140625" style="3"/>
    <col min="2265" max="2265" width="6.4140625" style="2"/>
    <col min="2266" max="2266" width="6.4140625" style="3"/>
    <col min="2267" max="2268" width="6.4140625" style="2"/>
    <col min="2269" max="2269" width="6.4140625" style="1"/>
    <col min="2270" max="2270" width="6.4140625" style="2"/>
    <col min="2271" max="2271" width="6.4140625" style="3"/>
    <col min="2272" max="2272" width="6.4140625" style="2"/>
    <col min="2273" max="2273" width="6.4140625" style="3"/>
    <col min="2274" max="2275" width="6.4140625" style="2"/>
    <col min="2276" max="2276" width="6.4140625" style="1"/>
    <col min="2277" max="2277" width="6.4140625" style="2"/>
    <col min="2278" max="2278" width="6.4140625" style="3"/>
    <col min="2279" max="2279" width="6.4140625" style="2"/>
    <col min="2280" max="2280" width="6.4140625" style="3"/>
    <col min="2281" max="2282" width="6.4140625" style="2"/>
    <col min="2283" max="2283" width="6.4140625" style="1"/>
    <col min="2284" max="2284" width="6.4140625" style="2"/>
    <col min="2285" max="2285" width="6.4140625" style="3"/>
    <col min="2286" max="2286" width="6.4140625" style="2"/>
    <col min="2287" max="2287" width="6.4140625" style="3"/>
    <col min="2288" max="2289" width="6.4140625" style="2"/>
    <col min="2290" max="2290" width="6.4140625" style="1"/>
    <col min="2291" max="2291" width="6.4140625" style="2"/>
    <col min="2292" max="2292" width="6.4140625" style="3"/>
    <col min="2293" max="2293" width="6.4140625" style="2"/>
    <col min="2294" max="2294" width="6.4140625" style="3"/>
    <col min="2295" max="2296" width="6.4140625" style="2"/>
    <col min="2297" max="2297" width="6.4140625" style="1"/>
    <col min="2298" max="2298" width="6.4140625" style="2"/>
    <col min="2299" max="2299" width="6.4140625" style="3"/>
    <col min="2300" max="2300" width="6.4140625" style="2"/>
    <col min="2301" max="2301" width="6.4140625" style="3"/>
    <col min="2302" max="2303" width="6.4140625" style="2"/>
    <col min="2304" max="2304" width="6.4140625" style="1"/>
    <col min="2305" max="2305" width="6.4140625" style="2"/>
    <col min="2306" max="2306" width="6.4140625" style="3"/>
    <col min="2307" max="2307" width="6.4140625" style="2"/>
    <col min="2308" max="2308" width="6.4140625" style="3"/>
    <col min="2309" max="2310" width="6.4140625" style="2"/>
    <col min="2311" max="2311" width="6.4140625" style="1"/>
    <col min="2312" max="2312" width="6.4140625" style="2"/>
    <col min="2313" max="2313" width="6.4140625" style="3"/>
    <col min="2314" max="2314" width="6.4140625" style="2"/>
    <col min="2315" max="2315" width="6.4140625" style="3"/>
    <col min="2316" max="2317" width="6.4140625" style="2"/>
    <col min="2318" max="2318" width="6.4140625" style="1"/>
    <col min="2319" max="2319" width="6.4140625" style="2"/>
    <col min="2320" max="2320" width="6.4140625" style="3"/>
    <col min="2321" max="2321" width="6.4140625" style="2"/>
    <col min="2322" max="2322" width="6.4140625" style="3"/>
    <col min="2323" max="2324" width="6.4140625" style="2"/>
    <col min="2325" max="2325" width="6.4140625" style="1"/>
    <col min="2326" max="2326" width="6.4140625" style="2"/>
    <col min="2327" max="2327" width="6.4140625" style="3"/>
    <col min="2328" max="2328" width="6.4140625" style="2"/>
    <col min="2329" max="2329" width="6.4140625" style="3"/>
    <col min="2330" max="2331" width="6.4140625" style="2"/>
    <col min="2332" max="2332" width="6.4140625" style="1"/>
    <col min="2333" max="2333" width="6.4140625" style="2"/>
    <col min="2334" max="2334" width="6.4140625" style="3"/>
    <col min="2335" max="2335" width="6.4140625" style="2"/>
    <col min="2336" max="2336" width="6.4140625" style="3"/>
    <col min="2337" max="2338" width="6.4140625" style="2"/>
    <col min="2339" max="2339" width="6.4140625" style="1"/>
    <col min="2340" max="2340" width="6.4140625" style="2"/>
    <col min="2341" max="2341" width="6.4140625" style="3"/>
    <col min="2342" max="2342" width="6.4140625" style="2"/>
    <col min="2343" max="2343" width="6.4140625" style="3"/>
    <col min="2344" max="2345" width="6.4140625" style="2"/>
    <col min="2346" max="2346" width="6.4140625" style="1"/>
    <col min="2347" max="2347" width="6.4140625" style="2"/>
    <col min="2348" max="2348" width="6.4140625" style="3"/>
    <col min="2349" max="2349" width="6.4140625" style="2"/>
    <col min="2350" max="2350" width="6.4140625" style="3"/>
    <col min="2351" max="2352" width="6.4140625" style="2"/>
    <col min="2353" max="2353" width="6.4140625" style="1"/>
    <col min="2354" max="2354" width="6.4140625" style="2"/>
    <col min="2355" max="2355" width="6.4140625" style="3"/>
    <col min="2356" max="2356" width="6.4140625" style="2"/>
    <col min="2357" max="2357" width="6.4140625" style="3"/>
    <col min="2358" max="2359" width="6.4140625" style="2"/>
    <col min="2360" max="2360" width="6.4140625" style="1"/>
    <col min="2361" max="2361" width="6.4140625" style="2"/>
    <col min="2362" max="2362" width="6.4140625" style="3"/>
    <col min="2363" max="2363" width="6.4140625" style="2"/>
    <col min="2364" max="2364" width="6.4140625" style="3"/>
    <col min="2365" max="2366" width="6.4140625" style="2"/>
    <col min="2367" max="2367" width="6.4140625" style="1"/>
    <col min="2368" max="2368" width="6.4140625" style="2"/>
    <col min="2369" max="2369" width="6.4140625" style="3"/>
    <col min="2370" max="2370" width="6.4140625" style="2"/>
    <col min="2371" max="2371" width="6.4140625" style="3"/>
    <col min="2372" max="2373" width="6.4140625" style="2"/>
    <col min="2374" max="2374" width="6.4140625" style="1"/>
    <col min="2375" max="2375" width="6.4140625" style="2"/>
    <col min="2376" max="2376" width="6.4140625" style="3"/>
    <col min="2377" max="2377" width="6.4140625" style="2"/>
    <col min="2378" max="2378" width="6.4140625" style="3"/>
    <col min="2379" max="2380" width="6.4140625" style="2"/>
    <col min="2381" max="2381" width="6.4140625" style="1"/>
    <col min="2382" max="2382" width="6.4140625" style="2"/>
    <col min="2383" max="2383" width="6.4140625" style="3"/>
    <col min="2384" max="2384" width="6.4140625" style="2"/>
    <col min="2385" max="2385" width="6.4140625" style="3"/>
    <col min="2386" max="2387" width="6.4140625" style="2"/>
    <col min="2388" max="2388" width="6.4140625" style="1"/>
    <col min="2389" max="2389" width="6.4140625" style="2"/>
    <col min="2390" max="2390" width="6.4140625" style="3"/>
    <col min="2391" max="2391" width="6.4140625" style="2"/>
    <col min="2392" max="2392" width="6.4140625" style="3"/>
    <col min="2393" max="2394" width="6.4140625" style="2"/>
    <col min="2395" max="2395" width="6.4140625" style="1"/>
    <col min="2396" max="2396" width="6.4140625" style="2"/>
    <col min="2397" max="2397" width="6.4140625" style="3"/>
    <col min="2398" max="2398" width="6.4140625" style="2"/>
    <col min="2399" max="2399" width="6.4140625" style="3"/>
    <col min="2400" max="2401" width="6.4140625" style="2"/>
    <col min="2402" max="2402" width="6.4140625" style="1"/>
    <col min="2403" max="2403" width="6.4140625" style="2"/>
    <col min="2404" max="2404" width="6.4140625" style="3"/>
    <col min="2405" max="2405" width="6.4140625" style="2"/>
    <col min="2406" max="2406" width="6.4140625" style="3"/>
    <col min="2407" max="2408" width="6.4140625" style="2"/>
    <col min="2409" max="2409" width="6.4140625" style="1"/>
    <col min="2410" max="2410" width="6.4140625" style="2"/>
    <col min="2411" max="2411" width="6.4140625" style="3"/>
    <col min="2412" max="2412" width="6.4140625" style="2"/>
    <col min="2413" max="2413" width="6.4140625" style="3"/>
    <col min="2414" max="2415" width="6.4140625" style="2"/>
    <col min="2416" max="2416" width="6.4140625" style="1"/>
    <col min="2417" max="2417" width="6.4140625" style="2"/>
    <col min="2418" max="2418" width="6.4140625" style="3"/>
    <col min="2419" max="2419" width="6.4140625" style="2"/>
    <col min="2420" max="2420" width="6.4140625" style="3"/>
    <col min="2421" max="2422" width="6.4140625" style="2"/>
    <col min="2423" max="2423" width="6.4140625" style="1"/>
    <col min="2424" max="2424" width="6.4140625" style="2"/>
    <col min="2425" max="2425" width="6.4140625" style="3"/>
    <col min="2426" max="2426" width="6.4140625" style="2"/>
    <col min="2427" max="2427" width="6.4140625" style="3"/>
    <col min="2428" max="2429" width="6.4140625" style="2"/>
    <col min="2430" max="2430" width="6.4140625" style="1"/>
    <col min="2431" max="2431" width="6.4140625" style="2"/>
    <col min="2432" max="2432" width="6.4140625" style="3"/>
    <col min="2433" max="2433" width="6.4140625" style="2"/>
    <col min="2434" max="2434" width="6.4140625" style="3"/>
    <col min="2435" max="2436" width="6.4140625" style="2"/>
    <col min="2437" max="2437" width="6.4140625" style="1"/>
    <col min="2438" max="2438" width="6.4140625" style="2"/>
    <col min="2439" max="2439" width="6.4140625" style="3"/>
    <col min="2440" max="2440" width="6.4140625" style="2"/>
    <col min="2441" max="2441" width="6.4140625" style="3"/>
    <col min="2442" max="2443" width="6.4140625" style="2"/>
    <col min="2444" max="2444" width="6.4140625" style="1"/>
    <col min="2445" max="2445" width="6.4140625" style="2"/>
    <col min="2446" max="2446" width="6.4140625" style="3"/>
    <col min="2447" max="2447" width="6.4140625" style="2"/>
    <col min="2448" max="2448" width="6.4140625" style="3"/>
    <col min="2449" max="2450" width="6.4140625" style="2"/>
    <col min="2451" max="2451" width="6.4140625" style="1"/>
    <col min="2452" max="2452" width="6.4140625" style="2"/>
    <col min="2453" max="2453" width="6.4140625" style="3"/>
    <col min="2454" max="2454" width="6.4140625" style="2"/>
    <col min="2455" max="2455" width="6.4140625" style="3"/>
    <col min="2456" max="2457" width="6.4140625" style="2"/>
    <col min="2458" max="2458" width="6.4140625" style="1"/>
    <col min="2459" max="2459" width="6.4140625" style="2"/>
    <col min="2460" max="2460" width="6.4140625" style="3"/>
    <col min="2461" max="2461" width="6.4140625" style="2"/>
    <col min="2462" max="2462" width="6.4140625" style="3"/>
    <col min="2463" max="2464" width="6.4140625" style="2"/>
    <col min="2465" max="2465" width="6.4140625" style="1"/>
    <col min="2466" max="2466" width="6.4140625" style="2"/>
    <col min="2467" max="2467" width="6.4140625" style="3"/>
    <col min="2468" max="2468" width="6.4140625" style="2"/>
    <col min="2469" max="2469" width="6.4140625" style="3"/>
    <col min="2470" max="2471" width="6.4140625" style="2"/>
    <col min="2472" max="2472" width="6.4140625" style="1"/>
    <col min="2473" max="2473" width="6.4140625" style="2"/>
    <col min="2474" max="2474" width="6.4140625" style="3"/>
    <col min="2475" max="2475" width="6.4140625" style="2"/>
    <col min="2476" max="2476" width="6.4140625" style="3"/>
    <col min="2477" max="2478" width="6.4140625" style="2"/>
    <col min="2479" max="2479" width="6.4140625" style="1"/>
    <col min="2480" max="2480" width="6.4140625" style="2"/>
    <col min="2481" max="2481" width="6.4140625" style="3"/>
    <col min="2482" max="2482" width="6.4140625" style="2"/>
    <col min="2483" max="2483" width="6.4140625" style="3"/>
    <col min="2484" max="2485" width="6.4140625" style="2"/>
    <col min="2486" max="2486" width="6.4140625" style="1"/>
    <col min="2487" max="2487" width="6.4140625" style="2"/>
    <col min="2488" max="2488" width="6.4140625" style="3"/>
    <col min="2489" max="2489" width="6.4140625" style="2"/>
    <col min="2490" max="2490" width="6.4140625" style="3"/>
    <col min="2491" max="2492" width="6.4140625" style="2"/>
    <col min="2493" max="2493" width="6.4140625" style="1"/>
    <col min="2494" max="2494" width="6.4140625" style="2"/>
    <col min="2495" max="2495" width="6.4140625" style="3"/>
    <col min="2496" max="2496" width="6.4140625" style="2"/>
    <col min="2497" max="2497" width="6.4140625" style="3"/>
    <col min="2498" max="2499" width="6.4140625" style="2"/>
    <col min="2500" max="2500" width="6.4140625" style="1"/>
    <col min="2501" max="2501" width="6.4140625" style="2"/>
    <col min="2502" max="2502" width="6.4140625" style="3"/>
    <col min="2503" max="2503" width="6.4140625" style="2"/>
    <col min="2504" max="2504" width="6.4140625" style="3"/>
    <col min="2505" max="2506" width="6.4140625" style="2"/>
    <col min="2507" max="2507" width="6.4140625" style="1"/>
    <col min="2508" max="2508" width="6.4140625" style="2"/>
    <col min="2509" max="2509" width="6.4140625" style="3"/>
    <col min="2510" max="2510" width="6.4140625" style="2"/>
    <col min="2511" max="2511" width="6.4140625" style="3"/>
    <col min="2512" max="2513" width="6.4140625" style="2"/>
    <col min="2514" max="2514" width="6.4140625" style="1"/>
    <col min="2515" max="2515" width="6.4140625" style="2"/>
    <col min="2516" max="2516" width="6.4140625" style="3"/>
    <col min="2517" max="2517" width="6.4140625" style="2"/>
    <col min="2518" max="2518" width="6.4140625" style="3"/>
    <col min="2519" max="2520" width="6.4140625" style="2"/>
    <col min="2521" max="2521" width="6.4140625" style="1"/>
    <col min="2522" max="2522" width="6.4140625" style="2"/>
    <col min="2523" max="2523" width="6.4140625" style="3"/>
    <col min="2524" max="2524" width="6.4140625" style="2"/>
    <col min="2525" max="2525" width="6.4140625" style="3"/>
    <col min="2526" max="2527" width="6.4140625" style="2"/>
    <col min="2528" max="2528" width="6.4140625" style="1"/>
    <col min="2529" max="2529" width="6.4140625" style="2"/>
    <col min="2530" max="2530" width="6.4140625" style="3"/>
    <col min="2531" max="2531" width="6.4140625" style="2"/>
    <col min="2532" max="2532" width="6.4140625" style="3"/>
    <col min="2533" max="2534" width="6.4140625" style="2"/>
    <col min="2535" max="2535" width="6.4140625" style="1"/>
    <col min="2536" max="2536" width="6.4140625" style="2"/>
    <col min="2537" max="2537" width="6.4140625" style="3"/>
    <col min="2538" max="2538" width="6.4140625" style="2"/>
    <col min="2539" max="2539" width="6.4140625" style="3"/>
    <col min="2540" max="2541" width="6.4140625" style="2"/>
    <col min="2542" max="2542" width="6.4140625" style="1"/>
    <col min="2543" max="2543" width="6.4140625" style="2"/>
    <col min="2544" max="2544" width="6.4140625" style="3"/>
    <col min="2545" max="2545" width="6.4140625" style="2"/>
    <col min="2546" max="2546" width="6.4140625" style="3"/>
    <col min="2547" max="2548" width="6.4140625" style="2"/>
    <col min="2549" max="2549" width="6.4140625" style="1"/>
    <col min="2550" max="2550" width="6.4140625" style="2"/>
    <col min="2551" max="2551" width="6.4140625" style="3"/>
    <col min="2552" max="2552" width="6.4140625" style="2"/>
    <col min="2553" max="2553" width="6.4140625" style="3"/>
    <col min="2554" max="2555" width="6.4140625" style="2"/>
    <col min="2556" max="2556" width="6.4140625" style="1"/>
    <col min="2557" max="2557" width="6.4140625" style="2"/>
    <col min="2558" max="2558" width="6.4140625" style="3"/>
    <col min="2559" max="2559" width="6.4140625" style="2"/>
    <col min="2560" max="2560" width="6.4140625" style="3"/>
    <col min="2561" max="2562" width="6.4140625" style="2"/>
    <col min="2563" max="2563" width="6.4140625" style="1"/>
    <col min="2564" max="2564" width="6.4140625" style="2"/>
    <col min="2565" max="2565" width="6.4140625" style="3"/>
    <col min="2566" max="2566" width="6.4140625" style="2"/>
    <col min="2567" max="2567" width="6.4140625" style="3"/>
    <col min="2568" max="2569" width="6.4140625" style="2"/>
    <col min="2570" max="2570" width="6.4140625" style="1"/>
    <col min="2571" max="2571" width="6.4140625" style="2"/>
    <col min="2572" max="2572" width="6.4140625" style="3"/>
    <col min="2573" max="2573" width="6.4140625" style="2"/>
    <col min="2574" max="2574" width="6.4140625" style="3"/>
    <col min="2575" max="2576" width="6.4140625" style="2"/>
    <col min="2577" max="2577" width="6.4140625" style="1"/>
    <col min="2578" max="2578" width="6.4140625" style="2"/>
    <col min="2579" max="2579" width="6.4140625" style="3"/>
    <col min="2580" max="2580" width="6.4140625" style="2"/>
    <col min="2581" max="2581" width="6.4140625" style="3"/>
    <col min="2582" max="2583" width="6.4140625" style="2"/>
    <col min="2584" max="2584" width="6.4140625" style="1"/>
    <col min="2585" max="2585" width="6.4140625" style="2"/>
    <col min="2586" max="2586" width="6.4140625" style="3"/>
    <col min="2587" max="2587" width="6.4140625" style="2"/>
    <col min="2588" max="2588" width="6.4140625" style="3"/>
    <col min="2589" max="2590" width="6.4140625" style="2"/>
    <col min="2591" max="2591" width="6.4140625" style="1"/>
    <col min="2592" max="2592" width="6.4140625" style="2"/>
    <col min="2593" max="2593" width="6.4140625" style="3"/>
    <col min="2594" max="2594" width="6.4140625" style="2"/>
    <col min="2595" max="2595" width="6.4140625" style="3"/>
    <col min="2596" max="2597" width="6.4140625" style="2"/>
    <col min="2598" max="2598" width="6.4140625" style="1"/>
    <col min="2599" max="2599" width="6.4140625" style="2"/>
    <col min="2600" max="2600" width="6.4140625" style="3"/>
    <col min="2601" max="2601" width="6.4140625" style="2"/>
    <col min="2602" max="2602" width="6.4140625" style="3"/>
    <col min="2603" max="2604" width="6.4140625" style="2"/>
    <col min="2605" max="2605" width="6.4140625" style="1"/>
    <col min="2606" max="2606" width="6.4140625" style="2"/>
    <col min="2607" max="2607" width="6.4140625" style="3"/>
    <col min="2608" max="2608" width="6.4140625" style="2"/>
    <col min="2609" max="2609" width="6.4140625" style="3"/>
    <col min="2610" max="2611" width="6.4140625" style="2"/>
    <col min="2612" max="2612" width="6.4140625" style="1"/>
    <col min="2613" max="2613" width="6.4140625" style="2"/>
    <col min="2614" max="2614" width="6.4140625" style="3"/>
    <col min="2615" max="2615" width="6.4140625" style="2"/>
    <col min="2616" max="2616" width="6.4140625" style="3"/>
    <col min="2617" max="2618" width="6.4140625" style="2"/>
    <col min="2619" max="2619" width="6.4140625" style="1"/>
    <col min="2620" max="2620" width="6.4140625" style="2"/>
    <col min="2621" max="2621" width="6.4140625" style="3"/>
    <col min="2622" max="2622" width="6.4140625" style="2"/>
    <col min="2623" max="2623" width="6.4140625" style="3"/>
    <col min="2624" max="2625" width="6.4140625" style="2"/>
    <col min="2626" max="2626" width="6.4140625" style="1"/>
    <col min="2627" max="2627" width="6.4140625" style="2"/>
    <col min="2628" max="2628" width="6.4140625" style="3"/>
    <col min="2629" max="2629" width="6.4140625" style="2"/>
    <col min="2630" max="2630" width="6.4140625" style="3"/>
    <col min="2631" max="2632" width="6.4140625" style="2"/>
    <col min="2633" max="2633" width="6.4140625" style="1"/>
    <col min="2634" max="2634" width="6.4140625" style="2"/>
    <col min="2635" max="2635" width="6.4140625" style="3"/>
    <col min="2636" max="2636" width="6.4140625" style="2"/>
    <col min="2637" max="2637" width="6.4140625" style="3"/>
    <col min="2638" max="2639" width="6.4140625" style="2"/>
    <col min="2640" max="2640" width="6.4140625" style="1"/>
    <col min="2641" max="2641" width="6.4140625" style="2"/>
    <col min="2642" max="2642" width="6.4140625" style="3"/>
    <col min="2643" max="2643" width="6.4140625" style="2"/>
    <col min="2644" max="2644" width="6.4140625" style="3"/>
    <col min="2645" max="2646" width="6.4140625" style="2"/>
    <col min="2647" max="2647" width="6.4140625" style="1"/>
    <col min="2648" max="2648" width="6.4140625" style="2"/>
    <col min="2649" max="2649" width="6.4140625" style="3"/>
    <col min="2650" max="2650" width="6.4140625" style="2"/>
    <col min="2651" max="2651" width="6.4140625" style="3"/>
    <col min="2652" max="2653" width="6.4140625" style="2"/>
    <col min="2654" max="2654" width="6.4140625" style="1"/>
    <col min="2655" max="2655" width="6.4140625" style="2"/>
    <col min="2656" max="2656" width="6.4140625" style="3"/>
    <col min="2657" max="2657" width="6.4140625" style="2"/>
    <col min="2658" max="2658" width="6.4140625" style="3"/>
    <col min="2659" max="2660" width="6.4140625" style="2"/>
    <col min="2661" max="2661" width="6.4140625" style="1"/>
    <col min="2662" max="2662" width="6.4140625" style="2"/>
    <col min="2663" max="2663" width="6.4140625" style="3"/>
    <col min="2664" max="2664" width="6.4140625" style="2"/>
    <col min="2665" max="2665" width="6.4140625" style="3"/>
    <col min="2666" max="2667" width="6.4140625" style="2"/>
    <col min="2668" max="2668" width="6.4140625" style="1"/>
    <col min="2669" max="2669" width="6.4140625" style="2"/>
    <col min="2670" max="2670" width="6.4140625" style="3"/>
    <col min="2671" max="2671" width="6.4140625" style="2"/>
    <col min="2672" max="2672" width="6.4140625" style="3"/>
    <col min="2673" max="2674" width="6.4140625" style="2"/>
    <col min="2675" max="2675" width="6.4140625" style="1"/>
    <col min="2676" max="2676" width="6.4140625" style="2"/>
    <col min="2677" max="2677" width="6.4140625" style="3"/>
    <col min="2678" max="2678" width="6.4140625" style="2"/>
    <col min="2679" max="2679" width="6.4140625" style="3"/>
    <col min="2680" max="2681" width="6.4140625" style="2"/>
    <col min="2682" max="2682" width="6.4140625" style="1"/>
    <col min="2683" max="2683" width="6.4140625" style="2"/>
    <col min="2684" max="2684" width="6.4140625" style="3"/>
    <col min="2685" max="2685" width="6.4140625" style="2"/>
    <col min="2686" max="2686" width="6.4140625" style="3"/>
    <col min="2687" max="2688" width="6.4140625" style="2"/>
    <col min="2689" max="2689" width="6.4140625" style="1"/>
    <col min="2690" max="2690" width="6.4140625" style="2"/>
    <col min="2691" max="2691" width="6.4140625" style="3"/>
    <col min="2692" max="2692" width="6.4140625" style="2"/>
    <col min="2693" max="2693" width="6.4140625" style="3"/>
    <col min="2694" max="2695" width="6.4140625" style="2"/>
    <col min="2696" max="2696" width="6.4140625" style="1"/>
    <col min="2697" max="2697" width="6.4140625" style="2"/>
    <col min="2698" max="2698" width="6.4140625" style="3"/>
    <col min="2699" max="2699" width="6.4140625" style="2"/>
    <col min="2700" max="2700" width="6.4140625" style="3"/>
    <col min="2701" max="2702" width="6.4140625" style="2"/>
    <col min="2703" max="2703" width="6.4140625" style="1"/>
    <col min="2704" max="2704" width="6.4140625" style="2"/>
    <col min="2705" max="2705" width="6.4140625" style="3"/>
    <col min="2706" max="2706" width="6.4140625" style="2"/>
    <col min="2707" max="2707" width="6.4140625" style="3"/>
    <col min="2708" max="2709" width="6.4140625" style="2"/>
    <col min="2710" max="2710" width="6.4140625" style="1"/>
    <col min="2711" max="2711" width="6.4140625" style="2"/>
    <col min="2712" max="2712" width="6.4140625" style="3"/>
    <col min="2713" max="2713" width="6.4140625" style="2"/>
    <col min="2714" max="2714" width="6.4140625" style="3"/>
    <col min="2715" max="2716" width="6.4140625" style="2"/>
    <col min="2717" max="2717" width="6.4140625" style="1"/>
    <col min="2718" max="2718" width="6.4140625" style="2"/>
    <col min="2719" max="2719" width="6.4140625" style="3"/>
    <col min="2720" max="2720" width="6.4140625" style="2"/>
    <col min="2721" max="2721" width="6.4140625" style="3"/>
    <col min="2722" max="2723" width="6.4140625" style="2"/>
    <col min="2724" max="2724" width="6.4140625" style="1"/>
    <col min="2725" max="2725" width="6.4140625" style="2"/>
    <col min="2726" max="2726" width="6.4140625" style="3"/>
    <col min="2727" max="2727" width="6.4140625" style="2"/>
    <col min="2728" max="2728" width="6.4140625" style="3"/>
    <col min="2729" max="2730" width="6.4140625" style="2"/>
    <col min="2731" max="2731" width="6.4140625" style="1"/>
    <col min="2732" max="2732" width="6.4140625" style="2"/>
    <col min="2733" max="2733" width="6.4140625" style="3"/>
    <col min="2734" max="2734" width="6.4140625" style="2"/>
    <col min="2735" max="2735" width="6.4140625" style="3"/>
    <col min="2736" max="2737" width="6.4140625" style="2"/>
    <col min="2738" max="2738" width="6.4140625" style="1"/>
    <col min="2739" max="2739" width="6.4140625" style="2"/>
    <col min="2740" max="2740" width="6.4140625" style="3"/>
    <col min="2741" max="2741" width="6.4140625" style="2"/>
    <col min="2742" max="2742" width="6.4140625" style="3"/>
    <col min="2743" max="2744" width="6.4140625" style="2"/>
    <col min="2745" max="2745" width="6.4140625" style="1"/>
    <col min="2746" max="2746" width="6.4140625" style="2"/>
    <col min="2747" max="2747" width="6.4140625" style="3"/>
    <col min="2748" max="2748" width="6.4140625" style="2"/>
    <col min="2749" max="2749" width="6.4140625" style="3"/>
    <col min="2750" max="2751" width="6.4140625" style="2"/>
    <col min="2752" max="2752" width="6.4140625" style="1"/>
    <col min="2753" max="2753" width="6.4140625" style="2"/>
    <col min="2754" max="2754" width="6.4140625" style="3"/>
    <col min="2755" max="2755" width="6.4140625" style="2"/>
    <col min="2756" max="2756" width="6.4140625" style="3"/>
    <col min="2757" max="2758" width="6.4140625" style="2"/>
    <col min="2759" max="2759" width="6.4140625" style="1"/>
    <col min="2760" max="2760" width="6.4140625" style="2"/>
    <col min="2761" max="2761" width="6.4140625" style="3"/>
    <col min="2762" max="2762" width="6.4140625" style="2"/>
    <col min="2763" max="2763" width="6.4140625" style="3"/>
    <col min="2764" max="2765" width="6.4140625" style="2"/>
    <col min="2766" max="2766" width="6.4140625" style="1"/>
    <col min="2767" max="2767" width="6.4140625" style="2"/>
    <col min="2768" max="2768" width="6.4140625" style="3"/>
    <col min="2769" max="2769" width="6.4140625" style="2"/>
    <col min="2770" max="2770" width="6.4140625" style="3"/>
    <col min="2771" max="2772" width="6.4140625" style="2"/>
    <col min="2773" max="2773" width="6.4140625" style="1"/>
    <col min="2774" max="2774" width="6.4140625" style="2"/>
    <col min="2775" max="2775" width="6.4140625" style="3"/>
    <col min="2776" max="2776" width="6.4140625" style="2"/>
    <col min="2777" max="2777" width="6.4140625" style="3"/>
    <col min="2778" max="2779" width="6.4140625" style="2"/>
    <col min="2780" max="2780" width="6.4140625" style="1"/>
    <col min="2781" max="2781" width="6.4140625" style="2"/>
    <col min="2782" max="2782" width="6.4140625" style="3"/>
    <col min="2783" max="2783" width="6.4140625" style="2"/>
    <col min="2784" max="2784" width="6.4140625" style="3"/>
    <col min="2785" max="2786" width="6.4140625" style="2"/>
    <col min="2787" max="2787" width="6.4140625" style="1"/>
    <col min="2788" max="2788" width="6.4140625" style="2"/>
    <col min="2789" max="2789" width="6.4140625" style="3"/>
    <col min="2790" max="2790" width="6.4140625" style="2"/>
    <col min="2791" max="2791" width="6.4140625" style="3"/>
    <col min="2792" max="2793" width="6.4140625" style="2"/>
    <col min="2794" max="2794" width="6.4140625" style="1"/>
    <col min="2795" max="2795" width="6.4140625" style="2"/>
    <col min="2796" max="2796" width="6.4140625" style="3"/>
    <col min="2797" max="2797" width="6.4140625" style="2"/>
    <col min="2798" max="2798" width="6.4140625" style="3"/>
    <col min="2799" max="2800" width="6.4140625" style="2"/>
    <col min="2801" max="2801" width="6.4140625" style="1"/>
    <col min="2802" max="2802" width="6.4140625" style="2"/>
    <col min="2803" max="2803" width="6.4140625" style="3"/>
    <col min="2804" max="2804" width="6.4140625" style="2"/>
    <col min="2805" max="2805" width="6.4140625" style="3"/>
    <col min="2806" max="2807" width="6.4140625" style="2"/>
    <col min="2808" max="2808" width="6.4140625" style="1"/>
    <col min="2809" max="2809" width="6.4140625" style="2"/>
    <col min="2810" max="2810" width="6.4140625" style="3"/>
    <col min="2811" max="2811" width="6.4140625" style="2"/>
    <col min="2812" max="2812" width="6.4140625" style="3"/>
    <col min="2813" max="2814" width="6.4140625" style="2"/>
    <col min="2815" max="2815" width="6.4140625" style="1"/>
    <col min="2816" max="2816" width="6.4140625" style="2"/>
    <col min="2817" max="2817" width="6.4140625" style="3"/>
    <col min="2818" max="2818" width="6.4140625" style="2"/>
    <col min="2819" max="2819" width="6.4140625" style="3"/>
    <col min="2820" max="2821" width="6.4140625" style="2"/>
    <col min="2822" max="2822" width="6.4140625" style="1"/>
    <col min="2823" max="2823" width="6.4140625" style="2"/>
    <col min="2824" max="2824" width="6.4140625" style="3"/>
    <col min="2825" max="2825" width="6.4140625" style="2"/>
    <col min="2826" max="2826" width="6.4140625" style="3"/>
    <col min="2827" max="2828" width="6.4140625" style="2"/>
    <col min="2829" max="2829" width="6.4140625" style="1"/>
    <col min="2830" max="2830" width="6.4140625" style="2"/>
    <col min="2831" max="2831" width="6.4140625" style="3"/>
    <col min="2832" max="2832" width="6.4140625" style="2"/>
    <col min="2833" max="2833" width="6.4140625" style="3"/>
    <col min="2834" max="2835" width="6.4140625" style="2"/>
    <col min="2836" max="2836" width="6.4140625" style="1"/>
    <col min="2837" max="2837" width="6.4140625" style="2"/>
    <col min="2838" max="2838" width="6.4140625" style="3"/>
    <col min="2839" max="2839" width="6.4140625" style="2"/>
    <col min="2840" max="2840" width="6.4140625" style="3"/>
    <col min="2841" max="2842" width="6.4140625" style="2"/>
    <col min="2843" max="2843" width="6.4140625" style="1"/>
    <col min="2844" max="2844" width="6.4140625" style="2"/>
    <col min="2845" max="2845" width="6.4140625" style="3"/>
    <col min="2846" max="2846" width="6.4140625" style="2"/>
    <col min="2847" max="2847" width="6.4140625" style="3"/>
    <col min="2848" max="2849" width="6.4140625" style="2"/>
    <col min="2850" max="2850" width="6.4140625" style="1"/>
    <col min="2851" max="2851" width="6.4140625" style="2"/>
    <col min="2852" max="2852" width="6.4140625" style="3"/>
    <col min="2853" max="2853" width="6.4140625" style="2"/>
    <col min="2854" max="2854" width="6.4140625" style="3"/>
    <col min="2855" max="2856" width="6.4140625" style="2"/>
    <col min="2857" max="2857" width="6.4140625" style="1"/>
    <col min="2858" max="2858" width="6.4140625" style="2"/>
    <col min="2859" max="2859" width="6.4140625" style="3"/>
    <col min="2860" max="2860" width="6.4140625" style="2"/>
    <col min="2861" max="2861" width="6.4140625" style="3"/>
    <col min="2862" max="2863" width="6.4140625" style="2"/>
    <col min="2864" max="2864" width="6.4140625" style="1"/>
    <col min="2865" max="2865" width="6.4140625" style="2"/>
    <col min="2866" max="2866" width="6.4140625" style="3"/>
    <col min="2867" max="2867" width="6.4140625" style="2"/>
    <col min="2868" max="2868" width="6.4140625" style="3"/>
    <col min="2869" max="2870" width="6.4140625" style="2"/>
    <col min="2871" max="2871" width="6.4140625" style="1"/>
    <col min="2872" max="2872" width="6.4140625" style="2"/>
    <col min="2873" max="2873" width="6.4140625" style="3"/>
    <col min="2874" max="2874" width="6.4140625" style="2"/>
    <col min="2875" max="2875" width="6.4140625" style="3"/>
    <col min="2876" max="2877" width="6.4140625" style="2"/>
    <col min="2878" max="2878" width="6.4140625" style="1"/>
    <col min="2879" max="2879" width="6.4140625" style="2"/>
    <col min="2880" max="2880" width="6.4140625" style="3"/>
    <col min="2881" max="2881" width="6.4140625" style="2"/>
    <col min="2882" max="2882" width="6.4140625" style="3"/>
    <col min="2883" max="2884" width="6.4140625" style="2"/>
    <col min="2885" max="2885" width="6.4140625" style="1"/>
    <col min="2886" max="2886" width="6.4140625" style="2"/>
    <col min="2887" max="2887" width="6.4140625" style="3"/>
    <col min="2888" max="2888" width="6.4140625" style="2"/>
    <col min="2889" max="2889" width="6.4140625" style="3"/>
    <col min="2890" max="2891" width="6.4140625" style="2"/>
    <col min="2892" max="2892" width="6.4140625" style="1"/>
    <col min="2893" max="2893" width="6.4140625" style="2"/>
    <col min="2894" max="2894" width="6.4140625" style="3"/>
    <col min="2895" max="2895" width="6.4140625" style="2"/>
    <col min="2896" max="2896" width="6.4140625" style="3"/>
    <col min="2897" max="2898" width="6.4140625" style="2"/>
    <col min="2899" max="2899" width="6.4140625" style="1"/>
    <col min="2900" max="2900" width="6.4140625" style="2"/>
    <col min="2901" max="2901" width="6.4140625" style="3"/>
    <col min="2902" max="2902" width="6.4140625" style="2"/>
    <col min="2903" max="2903" width="6.4140625" style="3"/>
    <col min="2904" max="2905" width="6.4140625" style="2"/>
    <col min="2906" max="2906" width="6.4140625" style="1"/>
    <col min="2907" max="2907" width="6.4140625" style="2"/>
    <col min="2908" max="2908" width="6.4140625" style="3"/>
    <col min="2909" max="2909" width="6.4140625" style="2"/>
    <col min="2910" max="2910" width="6.4140625" style="3"/>
    <col min="2911" max="2912" width="6.4140625" style="2"/>
    <col min="2913" max="2913" width="6.4140625" style="1"/>
    <col min="2914" max="2914" width="6.4140625" style="2"/>
    <col min="2915" max="2915" width="6.4140625" style="3"/>
    <col min="2916" max="2916" width="6.4140625" style="2"/>
    <col min="2917" max="2917" width="6.4140625" style="3"/>
    <col min="2918" max="2919" width="6.4140625" style="2"/>
    <col min="2920" max="2920" width="6.4140625" style="1"/>
    <col min="2921" max="2921" width="6.4140625" style="2"/>
    <col min="2922" max="2922" width="6.4140625" style="3"/>
    <col min="2923" max="2923" width="6.4140625" style="2"/>
    <col min="2924" max="2924" width="6.4140625" style="3"/>
    <col min="2925" max="2926" width="6.4140625" style="2"/>
    <col min="2927" max="2927" width="6.4140625" style="1"/>
    <col min="2928" max="2928" width="6.4140625" style="2"/>
    <col min="2929" max="2929" width="6.4140625" style="3"/>
    <col min="2930" max="2930" width="6.4140625" style="2"/>
    <col min="2931" max="2931" width="6.4140625" style="3"/>
    <col min="2932" max="2933" width="6.4140625" style="2"/>
    <col min="2934" max="2934" width="6.4140625" style="1"/>
    <col min="2935" max="2935" width="6.4140625" style="2"/>
    <col min="2936" max="2936" width="6.4140625" style="3"/>
    <col min="2937" max="2937" width="6.4140625" style="2"/>
    <col min="2938" max="2938" width="6.4140625" style="3"/>
    <col min="2939" max="2940" width="6.4140625" style="2"/>
    <col min="2941" max="2941" width="6.4140625" style="1"/>
    <col min="2942" max="2942" width="6.4140625" style="2"/>
    <col min="2943" max="2943" width="6.4140625" style="3"/>
    <col min="2944" max="2944" width="6.4140625" style="2"/>
    <col min="2945" max="2945" width="6.4140625" style="3"/>
    <col min="2946" max="2947" width="6.4140625" style="2"/>
    <col min="2948" max="2948" width="6.4140625" style="1"/>
    <col min="2949" max="2949" width="6.4140625" style="2"/>
    <col min="2950" max="2950" width="6.4140625" style="3"/>
    <col min="2951" max="2951" width="6.4140625" style="2"/>
    <col min="2952" max="2952" width="6.4140625" style="3"/>
    <col min="2953" max="2954" width="6.4140625" style="2"/>
    <col min="2955" max="2955" width="6.4140625" style="1"/>
    <col min="2956" max="2956" width="6.4140625" style="2"/>
    <col min="2957" max="2957" width="6.4140625" style="3"/>
    <col min="2958" max="2958" width="6.4140625" style="2"/>
    <col min="2959" max="2959" width="6.4140625" style="3"/>
    <col min="2960" max="2961" width="6.4140625" style="2"/>
    <col min="2962" max="2962" width="6.4140625" style="1"/>
    <col min="2963" max="2963" width="6.4140625" style="2"/>
    <col min="2964" max="2964" width="6.4140625" style="3"/>
    <col min="2965" max="2965" width="6.4140625" style="2"/>
    <col min="2966" max="2966" width="6.4140625" style="3"/>
    <col min="2967" max="2968" width="6.4140625" style="2"/>
    <col min="2969" max="2969" width="6.4140625" style="1"/>
    <col min="2970" max="2970" width="6.4140625" style="2"/>
    <col min="2971" max="2971" width="6.4140625" style="3"/>
    <col min="2972" max="2972" width="6.4140625" style="2"/>
    <col min="2973" max="2973" width="6.4140625" style="3"/>
    <col min="2974" max="2975" width="6.4140625" style="2"/>
    <col min="2976" max="2976" width="6.4140625" style="1"/>
    <col min="2977" max="2977" width="6.4140625" style="2"/>
    <col min="2978" max="2978" width="6.4140625" style="3"/>
    <col min="2979" max="2979" width="6.4140625" style="2"/>
    <col min="2980" max="2980" width="6.4140625" style="3"/>
    <col min="2981" max="2982" width="6.4140625" style="2"/>
    <col min="2983" max="2983" width="6.4140625" style="1"/>
    <col min="2984" max="2984" width="6.4140625" style="2"/>
    <col min="2985" max="2985" width="6.4140625" style="3"/>
    <col min="2986" max="2986" width="6.4140625" style="2"/>
    <col min="2987" max="2987" width="6.4140625" style="3"/>
    <col min="2988" max="2989" width="6.4140625" style="2"/>
    <col min="2990" max="2990" width="6.4140625" style="1"/>
    <col min="2991" max="2991" width="6.4140625" style="2"/>
    <col min="2992" max="2992" width="6.4140625" style="3"/>
    <col min="2993" max="2993" width="6.4140625" style="2"/>
    <col min="2994" max="2994" width="6.4140625" style="3"/>
    <col min="2995" max="2996" width="6.4140625" style="2"/>
    <col min="2997" max="2997" width="6.4140625" style="1"/>
    <col min="2998" max="2998" width="6.4140625" style="2"/>
    <col min="2999" max="2999" width="6.4140625" style="3"/>
    <col min="3000" max="3000" width="6.4140625" style="2"/>
    <col min="3001" max="3001" width="6.4140625" style="3"/>
    <col min="3002" max="3003" width="6.4140625" style="2"/>
    <col min="3004" max="3004" width="6.4140625" style="1"/>
    <col min="3005" max="3005" width="6.4140625" style="2"/>
    <col min="3006" max="3006" width="6.4140625" style="3"/>
    <col min="3007" max="3007" width="6.4140625" style="2"/>
    <col min="3008" max="3008" width="6.4140625" style="3"/>
    <col min="3009" max="3010" width="6.4140625" style="2"/>
    <col min="3011" max="3011" width="6.4140625" style="1"/>
    <col min="3012" max="3012" width="6.4140625" style="2"/>
    <col min="3013" max="3013" width="6.4140625" style="3"/>
    <col min="3014" max="3014" width="6.4140625" style="2"/>
    <col min="3015" max="3015" width="6.4140625" style="3"/>
    <col min="3016" max="3017" width="6.4140625" style="2"/>
    <col min="3018" max="3018" width="6.4140625" style="1"/>
    <col min="3019" max="3019" width="6.4140625" style="2"/>
    <col min="3020" max="3020" width="6.4140625" style="3"/>
    <col min="3021" max="3021" width="6.4140625" style="2"/>
    <col min="3022" max="3022" width="6.4140625" style="3"/>
    <col min="3023" max="3024" width="6.4140625" style="2"/>
    <col min="3025" max="3025" width="6.4140625" style="1"/>
    <col min="3026" max="3026" width="6.4140625" style="2"/>
    <col min="3027" max="3027" width="6.4140625" style="3"/>
    <col min="3028" max="3028" width="6.4140625" style="2"/>
    <col min="3029" max="3029" width="6.4140625" style="3"/>
    <col min="3030" max="3031" width="6.4140625" style="2"/>
    <col min="3032" max="3032" width="6.4140625" style="1"/>
    <col min="3033" max="3033" width="6.4140625" style="2"/>
    <col min="3034" max="3034" width="6.4140625" style="3"/>
    <col min="3035" max="3035" width="6.4140625" style="2"/>
    <col min="3036" max="3036" width="6.4140625" style="3"/>
    <col min="3037" max="3038" width="6.4140625" style="2"/>
    <col min="3039" max="3039" width="6.4140625" style="1"/>
    <col min="3040" max="3040" width="6.4140625" style="2"/>
    <col min="3041" max="3041" width="6.4140625" style="3"/>
    <col min="3042" max="3042" width="6.4140625" style="2"/>
    <col min="3043" max="3043" width="6.4140625" style="3"/>
    <col min="3044" max="3045" width="6.4140625" style="2"/>
    <col min="3046" max="3046" width="6.4140625" style="1"/>
    <col min="3047" max="3047" width="6.4140625" style="2"/>
    <col min="3048" max="3048" width="6.4140625" style="3"/>
    <col min="3049" max="3049" width="6.4140625" style="2"/>
    <col min="3050" max="3050" width="6.4140625" style="3"/>
    <col min="3051" max="3052" width="6.4140625" style="2"/>
    <col min="3053" max="3053" width="6.4140625" style="1"/>
    <col min="3054" max="3054" width="6.4140625" style="2"/>
    <col min="3055" max="3055" width="6.4140625" style="3"/>
    <col min="3056" max="3056" width="6.4140625" style="2"/>
    <col min="3057" max="3057" width="6.4140625" style="3"/>
    <col min="3058" max="3059" width="6.4140625" style="2"/>
    <col min="3060" max="3060" width="6.4140625" style="1"/>
    <col min="3061" max="3061" width="6.4140625" style="2"/>
    <col min="3062" max="3062" width="6.4140625" style="3"/>
    <col min="3063" max="3063" width="6.4140625" style="2"/>
    <col min="3064" max="3064" width="6.4140625" style="3"/>
    <col min="3065" max="3066" width="6.4140625" style="2"/>
    <col min="3067" max="3067" width="6.4140625" style="1"/>
    <col min="3068" max="3068" width="6.4140625" style="2"/>
    <col min="3069" max="3069" width="6.4140625" style="3"/>
    <col min="3070" max="3070" width="6.4140625" style="2"/>
    <col min="3071" max="3071" width="6.4140625" style="3"/>
    <col min="3072" max="3073" width="6.4140625" style="2"/>
    <col min="3074" max="3074" width="6.4140625" style="1"/>
    <col min="3075" max="3075" width="6.4140625" style="2"/>
    <col min="3076" max="3076" width="6.4140625" style="3"/>
    <col min="3077" max="3077" width="6.4140625" style="2"/>
    <col min="3078" max="3078" width="6.4140625" style="3"/>
    <col min="3079" max="3080" width="6.4140625" style="2"/>
    <col min="3081" max="3081" width="6.4140625" style="1"/>
    <col min="3082" max="3082" width="6.4140625" style="2"/>
    <col min="3083" max="3083" width="6.4140625" style="3"/>
    <col min="3084" max="3084" width="6.4140625" style="2"/>
    <col min="3085" max="3085" width="6.4140625" style="3"/>
    <col min="3086" max="3087" width="6.4140625" style="2"/>
    <col min="3088" max="3088" width="6.4140625" style="1"/>
    <col min="3089" max="3089" width="6.4140625" style="2"/>
    <col min="3090" max="3090" width="6.4140625" style="3"/>
    <col min="3091" max="3091" width="6.4140625" style="2"/>
    <col min="3092" max="3092" width="6.4140625" style="3"/>
    <col min="3093" max="3094" width="6.4140625" style="2"/>
    <col min="3095" max="3095" width="6.4140625" style="1"/>
    <col min="3096" max="3096" width="6.4140625" style="2"/>
    <col min="3097" max="3097" width="6.4140625" style="3"/>
    <col min="3098" max="3098" width="6.4140625" style="2"/>
    <col min="3099" max="3099" width="6.4140625" style="3"/>
    <col min="3100" max="3101" width="6.4140625" style="2"/>
    <col min="3102" max="3102" width="6.4140625" style="1"/>
    <col min="3103" max="3103" width="6.4140625" style="2"/>
    <col min="3104" max="3104" width="6.4140625" style="3"/>
    <col min="3105" max="3105" width="6.4140625" style="2"/>
    <col min="3106" max="3106" width="6.4140625" style="3"/>
    <col min="3107" max="3108" width="6.4140625" style="2"/>
    <col min="3109" max="3109" width="6.4140625" style="1"/>
    <col min="3110" max="3110" width="6.4140625" style="2"/>
    <col min="3111" max="3111" width="6.4140625" style="3"/>
    <col min="3112" max="3112" width="6.4140625" style="2"/>
    <col min="3113" max="3113" width="6.4140625" style="3"/>
    <col min="3114" max="3115" width="6.4140625" style="2"/>
    <col min="3116" max="3116" width="6.4140625" style="1"/>
    <col min="3117" max="3117" width="6.4140625" style="2"/>
    <col min="3118" max="3118" width="6.4140625" style="3"/>
    <col min="3119" max="3119" width="6.4140625" style="2"/>
    <col min="3120" max="3120" width="6.4140625" style="3"/>
    <col min="3121" max="3122" width="6.4140625" style="2"/>
    <col min="3123" max="3123" width="6.4140625" style="1"/>
    <col min="3124" max="3124" width="6.4140625" style="2"/>
    <col min="3125" max="3125" width="6.4140625" style="3"/>
    <col min="3126" max="3126" width="6.4140625" style="2"/>
    <col min="3127" max="3127" width="6.4140625" style="3"/>
    <col min="3128" max="3129" width="6.4140625" style="2"/>
    <col min="3130" max="3130" width="6.4140625" style="1"/>
    <col min="3131" max="3131" width="6.4140625" style="2"/>
    <col min="3132" max="3132" width="6.4140625" style="3"/>
    <col min="3133" max="3133" width="6.4140625" style="2"/>
    <col min="3134" max="3134" width="6.4140625" style="3"/>
    <col min="3135" max="3136" width="6.4140625" style="2"/>
    <col min="3137" max="3137" width="6.4140625" style="1"/>
    <col min="3138" max="3138" width="6.4140625" style="2"/>
    <col min="3139" max="3139" width="6.4140625" style="3"/>
    <col min="3140" max="3140" width="6.4140625" style="2"/>
    <col min="3141" max="3141" width="6.4140625" style="3"/>
    <col min="3142" max="3143" width="6.4140625" style="2"/>
    <col min="3144" max="3144" width="6.4140625" style="1"/>
    <col min="3145" max="3145" width="6.4140625" style="2"/>
    <col min="3146" max="3146" width="6.4140625" style="3"/>
    <col min="3147" max="3147" width="6.4140625" style="2"/>
    <col min="3148" max="3148" width="6.4140625" style="3"/>
    <col min="3149" max="3150" width="6.4140625" style="2"/>
    <col min="3151" max="3151" width="6.4140625" style="1"/>
    <col min="3152" max="3152" width="6.4140625" style="2"/>
    <col min="3153" max="3153" width="6.4140625" style="3"/>
    <col min="3154" max="3154" width="6.4140625" style="2"/>
    <col min="3155" max="3155" width="6.4140625" style="3"/>
    <col min="3156" max="3157" width="6.4140625" style="2"/>
    <col min="3158" max="3158" width="6.4140625" style="1"/>
    <col min="3159" max="3159" width="6.4140625" style="2"/>
    <col min="3160" max="3160" width="6.4140625" style="3"/>
    <col min="3161" max="3161" width="6.4140625" style="2"/>
    <col min="3162" max="3162" width="6.4140625" style="3"/>
    <col min="3163" max="3164" width="6.4140625" style="2"/>
    <col min="3165" max="3165" width="6.4140625" style="1"/>
    <col min="3166" max="3166" width="6.4140625" style="2"/>
    <col min="3167" max="3167" width="6.4140625" style="3"/>
    <col min="3168" max="3168" width="6.4140625" style="2"/>
    <col min="3169" max="3169" width="6.4140625" style="3"/>
    <col min="3170" max="3171" width="6.4140625" style="2"/>
    <col min="3172" max="3172" width="6.4140625" style="1"/>
    <col min="3173" max="3173" width="6.4140625" style="2"/>
    <col min="3174" max="3174" width="6.4140625" style="3"/>
    <col min="3175" max="3175" width="6.4140625" style="2"/>
    <col min="3176" max="3176" width="6.4140625" style="3"/>
    <col min="3177" max="3178" width="6.4140625" style="2"/>
    <col min="3179" max="3179" width="6.4140625" style="1"/>
    <col min="3180" max="3180" width="6.4140625" style="2"/>
    <col min="3181" max="3181" width="6.4140625" style="3"/>
    <col min="3182" max="3182" width="6.4140625" style="2"/>
    <col min="3183" max="3183" width="6.4140625" style="3"/>
    <col min="3184" max="3185" width="6.4140625" style="2"/>
    <col min="3186" max="3186" width="6.4140625" style="1"/>
    <col min="3187" max="3187" width="6.4140625" style="2"/>
    <col min="3188" max="3188" width="6.4140625" style="3"/>
    <col min="3189" max="3189" width="6.4140625" style="2"/>
    <col min="3190" max="3190" width="6.4140625" style="3"/>
    <col min="3191" max="3192" width="6.4140625" style="2"/>
    <col min="3193" max="3193" width="6.4140625" style="1"/>
    <col min="3194" max="3194" width="6.4140625" style="2"/>
    <col min="3195" max="3195" width="6.4140625" style="3"/>
    <col min="3196" max="3196" width="6.4140625" style="2"/>
    <col min="3197" max="3197" width="6.4140625" style="3"/>
    <col min="3198" max="3199" width="6.4140625" style="2"/>
    <col min="3200" max="3200" width="6.4140625" style="1"/>
    <col min="3201" max="3201" width="6.4140625" style="2"/>
    <col min="3202" max="3202" width="6.4140625" style="3"/>
    <col min="3203" max="3203" width="6.4140625" style="2"/>
    <col min="3204" max="3204" width="6.4140625" style="3"/>
    <col min="3205" max="3206" width="6.4140625" style="2"/>
    <col min="3207" max="3207" width="6.4140625" style="1"/>
    <col min="3208" max="3208" width="6.4140625" style="2"/>
    <col min="3209" max="3209" width="6.4140625" style="3"/>
    <col min="3210" max="3210" width="6.4140625" style="2"/>
    <col min="3211" max="3211" width="6.4140625" style="3"/>
    <col min="3212" max="3213" width="6.4140625" style="2"/>
    <col min="3214" max="3214" width="6.4140625" style="1"/>
    <col min="3215" max="3215" width="6.4140625" style="2"/>
    <col min="3216" max="3216" width="6.4140625" style="3"/>
    <col min="3217" max="3217" width="6.4140625" style="2"/>
    <col min="3218" max="3218" width="6.4140625" style="3"/>
    <col min="3219" max="3220" width="6.4140625" style="2"/>
    <col min="3221" max="3221" width="6.4140625" style="1"/>
    <col min="3222" max="3222" width="6.4140625" style="2"/>
    <col min="3223" max="3223" width="6.4140625" style="3"/>
    <col min="3224" max="3224" width="6.4140625" style="2"/>
    <col min="3225" max="3225" width="6.4140625" style="3"/>
    <col min="3226" max="3227" width="6.4140625" style="2"/>
    <col min="3228" max="3228" width="6.4140625" style="1"/>
    <col min="3229" max="3229" width="6.4140625" style="2"/>
    <col min="3230" max="3230" width="6.4140625" style="3"/>
    <col min="3231" max="3231" width="6.4140625" style="2"/>
    <col min="3232" max="3232" width="6.4140625" style="3"/>
    <col min="3233" max="3234" width="6.4140625" style="2"/>
    <col min="3235" max="3235" width="6.4140625" style="1"/>
    <col min="3236" max="3236" width="6.4140625" style="2"/>
    <col min="3237" max="3237" width="6.4140625" style="3"/>
    <col min="3238" max="3238" width="6.4140625" style="2"/>
    <col min="3239" max="3239" width="6.4140625" style="3"/>
    <col min="3240" max="3241" width="6.4140625" style="2"/>
    <col min="3242" max="3242" width="6.4140625" style="1"/>
    <col min="3243" max="3243" width="6.4140625" style="2"/>
    <col min="3244" max="3244" width="6.4140625" style="3"/>
    <col min="3245" max="3245" width="6.4140625" style="2"/>
    <col min="3246" max="3246" width="6.4140625" style="3"/>
    <col min="3247" max="3248" width="6.4140625" style="2"/>
    <col min="3249" max="3249" width="6.4140625" style="1"/>
    <col min="3250" max="3250" width="6.4140625" style="2"/>
    <col min="3251" max="3251" width="6.4140625" style="3"/>
    <col min="3252" max="3252" width="6.4140625" style="2"/>
    <col min="3253" max="3253" width="6.4140625" style="3"/>
    <col min="3254" max="3255" width="6.4140625" style="2"/>
    <col min="3256" max="3256" width="6.4140625" style="1"/>
    <col min="3257" max="3257" width="6.4140625" style="2"/>
    <col min="3258" max="3258" width="6.4140625" style="3"/>
    <col min="3259" max="3259" width="6.4140625" style="2"/>
    <col min="3260" max="3260" width="6.4140625" style="3"/>
    <col min="3261" max="3262" width="6.4140625" style="2"/>
    <col min="3263" max="3263" width="6.4140625" style="1"/>
    <col min="3264" max="3264" width="6.4140625" style="2"/>
    <col min="3265" max="3265" width="6.4140625" style="3"/>
    <col min="3266" max="3266" width="6.4140625" style="2"/>
    <col min="3267" max="3267" width="6.4140625" style="3"/>
    <col min="3268" max="3269" width="6.4140625" style="2"/>
    <col min="3270" max="3270" width="6.4140625" style="1"/>
    <col min="3271" max="3271" width="6.4140625" style="2"/>
    <col min="3272" max="3272" width="6.4140625" style="3"/>
    <col min="3273" max="3273" width="6.4140625" style="2"/>
    <col min="3274" max="3274" width="6.4140625" style="3"/>
    <col min="3275" max="3276" width="6.4140625" style="2"/>
    <col min="3277" max="3277" width="6.4140625" style="1"/>
    <col min="3278" max="3278" width="6.4140625" style="2"/>
    <col min="3279" max="3279" width="6.4140625" style="3"/>
    <col min="3280" max="3280" width="6.4140625" style="2"/>
    <col min="3281" max="3281" width="6.4140625" style="3"/>
    <col min="3282" max="3283" width="6.4140625" style="2"/>
    <col min="3284" max="3284" width="6.4140625" style="1"/>
    <col min="3285" max="3285" width="6.4140625" style="2"/>
    <col min="3286" max="3286" width="6.4140625" style="3"/>
    <col min="3287" max="3287" width="6.4140625" style="2"/>
    <col min="3288" max="3288" width="6.4140625" style="3"/>
    <col min="3289" max="3290" width="6.4140625" style="2"/>
    <col min="3291" max="3291" width="6.4140625" style="1"/>
    <col min="3292" max="3292" width="6.4140625" style="2"/>
    <col min="3293" max="3293" width="6.4140625" style="3"/>
    <col min="3294" max="3294" width="6.4140625" style="2"/>
    <col min="3295" max="3295" width="6.4140625" style="3"/>
    <col min="3296" max="3297" width="6.4140625" style="2"/>
    <col min="3298" max="3298" width="6.4140625" style="1"/>
    <col min="3299" max="3299" width="6.4140625" style="2"/>
    <col min="3300" max="3300" width="6.4140625" style="3"/>
    <col min="3301" max="3301" width="6.4140625" style="2"/>
    <col min="3302" max="3302" width="6.4140625" style="3"/>
    <col min="3303" max="3304" width="6.4140625" style="2"/>
    <col min="3305" max="3305" width="6.4140625" style="1"/>
    <col min="3306" max="3306" width="6.4140625" style="2"/>
    <col min="3307" max="3307" width="6.4140625" style="3"/>
    <col min="3308" max="3308" width="6.4140625" style="2"/>
    <col min="3309" max="3309" width="6.4140625" style="3"/>
    <col min="3310" max="3311" width="6.4140625" style="2"/>
    <col min="3312" max="3312" width="6.4140625" style="1"/>
    <col min="3313" max="3313" width="6.4140625" style="2"/>
    <col min="3314" max="3314" width="6.4140625" style="3"/>
    <col min="3315" max="3315" width="6.4140625" style="2"/>
    <col min="3316" max="3316" width="6.4140625" style="3"/>
    <col min="3317" max="3318" width="6.4140625" style="2"/>
    <col min="3319" max="3319" width="6.4140625" style="1"/>
    <col min="3320" max="3320" width="6.4140625" style="2"/>
    <col min="3321" max="3321" width="6.4140625" style="3"/>
    <col min="3322" max="3322" width="6.4140625" style="2"/>
    <col min="3323" max="3323" width="6.4140625" style="3"/>
    <col min="3324" max="3325" width="6.4140625" style="2"/>
    <col min="3326" max="3326" width="6.4140625" style="1"/>
    <col min="3327" max="3327" width="6.4140625" style="2"/>
    <col min="3328" max="3328" width="6.4140625" style="3"/>
    <col min="3329" max="3329" width="6.4140625" style="2"/>
    <col min="3330" max="3330" width="6.4140625" style="3"/>
    <col min="3331" max="3332" width="6.4140625" style="2"/>
    <col min="3333" max="3333" width="6.4140625" style="1"/>
    <col min="3334" max="3334" width="6.4140625" style="2"/>
    <col min="3335" max="3335" width="6.4140625" style="3"/>
    <col min="3336" max="3336" width="6.4140625" style="2"/>
    <col min="3337" max="3337" width="6.4140625" style="3"/>
    <col min="3338" max="3339" width="6.4140625" style="2"/>
    <col min="3340" max="3340" width="6.4140625" style="1"/>
    <col min="3341" max="3341" width="6.4140625" style="2"/>
    <col min="3342" max="3342" width="6.4140625" style="3"/>
    <col min="3343" max="3343" width="6.4140625" style="2"/>
    <col min="3344" max="3344" width="6.4140625" style="3"/>
    <col min="3345" max="3346" width="6.4140625" style="2"/>
    <col min="3347" max="3347" width="6.4140625" style="1"/>
    <col min="3348" max="3348" width="6.4140625" style="2"/>
    <col min="3349" max="3349" width="6.4140625" style="3"/>
    <col min="3350" max="3350" width="6.4140625" style="2"/>
    <col min="3351" max="3351" width="6.4140625" style="3"/>
    <col min="3352" max="3353" width="6.4140625" style="2"/>
    <col min="3354" max="3354" width="6.4140625" style="1"/>
    <col min="3355" max="3355" width="6.4140625" style="2"/>
    <col min="3356" max="3356" width="6.4140625" style="3"/>
    <col min="3357" max="3357" width="6.4140625" style="2"/>
    <col min="3358" max="3358" width="6.4140625" style="3"/>
    <col min="3359" max="3360" width="6.4140625" style="2"/>
    <col min="3361" max="3361" width="6.4140625" style="1"/>
    <col min="3362" max="3362" width="6.4140625" style="2"/>
    <col min="3363" max="3363" width="6.4140625" style="3"/>
    <col min="3364" max="3364" width="6.4140625" style="2"/>
    <col min="3365" max="3365" width="6.4140625" style="3"/>
    <col min="3366" max="3367" width="6.4140625" style="2"/>
    <col min="3368" max="3368" width="6.4140625" style="1"/>
    <col min="3369" max="3369" width="6.4140625" style="2"/>
    <col min="3370" max="3370" width="6.4140625" style="3"/>
    <col min="3371" max="3371" width="6.4140625" style="2"/>
    <col min="3372" max="3372" width="6.4140625" style="3"/>
    <col min="3373" max="3374" width="6.4140625" style="2"/>
    <col min="3375" max="3375" width="6.4140625" style="1"/>
    <col min="3376" max="3376" width="6.4140625" style="2"/>
    <col min="3377" max="3377" width="6.4140625" style="3"/>
    <col min="3378" max="3378" width="6.4140625" style="2"/>
    <col min="3379" max="3379" width="6.4140625" style="3"/>
    <col min="3380" max="3381" width="6.4140625" style="2"/>
    <col min="3382" max="3382" width="6.4140625" style="1"/>
    <col min="3383" max="3383" width="6.4140625" style="2"/>
    <col min="3384" max="3384" width="6.4140625" style="3"/>
    <col min="3385" max="3385" width="6.4140625" style="2"/>
    <col min="3386" max="3386" width="6.4140625" style="3"/>
    <col min="3387" max="3388" width="6.4140625" style="2"/>
    <col min="3389" max="3389" width="6.4140625" style="1"/>
    <col min="3390" max="3390" width="6.4140625" style="2"/>
    <col min="3391" max="3391" width="6.4140625" style="3"/>
    <col min="3392" max="3392" width="6.4140625" style="2"/>
    <col min="3393" max="3393" width="6.4140625" style="3"/>
    <col min="3394" max="3395" width="6.4140625" style="2"/>
    <col min="3396" max="3396" width="6.4140625" style="1"/>
    <col min="3397" max="3397" width="6.4140625" style="2"/>
    <col min="3398" max="3398" width="6.4140625" style="3"/>
    <col min="3399" max="3399" width="6.4140625" style="2"/>
    <col min="3400" max="3400" width="6.4140625" style="3"/>
    <col min="3401" max="3402" width="6.4140625" style="2"/>
    <col min="3403" max="3403" width="6.4140625" style="1"/>
    <col min="3404" max="3404" width="6.4140625" style="2"/>
    <col min="3405" max="3405" width="6.4140625" style="3"/>
    <col min="3406" max="3406" width="6.4140625" style="2"/>
    <col min="3407" max="3407" width="6.4140625" style="3"/>
    <col min="3408" max="3409" width="6.4140625" style="2"/>
    <col min="3410" max="3410" width="6.4140625" style="1"/>
    <col min="3411" max="3411" width="6.4140625" style="2"/>
    <col min="3412" max="3412" width="6.4140625" style="3"/>
    <col min="3413" max="3413" width="6.4140625" style="2"/>
    <col min="3414" max="3414" width="6.4140625" style="3"/>
    <col min="3415" max="3416" width="6.4140625" style="2"/>
    <col min="3417" max="3417" width="6.4140625" style="1"/>
    <col min="3418" max="3418" width="6.4140625" style="2"/>
    <col min="3419" max="3419" width="6.4140625" style="3"/>
    <col min="3420" max="3420" width="6.4140625" style="2"/>
    <col min="3421" max="3421" width="6.4140625" style="3"/>
    <col min="3422" max="3423" width="6.4140625" style="2"/>
    <col min="3424" max="3424" width="6.4140625" style="1"/>
    <col min="3425" max="3425" width="6.4140625" style="2"/>
    <col min="3426" max="3426" width="6.4140625" style="3"/>
    <col min="3427" max="3427" width="6.4140625" style="2"/>
    <col min="3428" max="3428" width="6.4140625" style="3"/>
    <col min="3429" max="3430" width="6.4140625" style="2"/>
    <col min="3431" max="3431" width="6.4140625" style="1"/>
    <col min="3432" max="3432" width="6.4140625" style="2"/>
    <col min="3433" max="3433" width="6.4140625" style="3"/>
    <col min="3434" max="3434" width="6.4140625" style="2"/>
    <col min="3435" max="3435" width="6.4140625" style="3"/>
    <col min="3436" max="3437" width="6.4140625" style="2"/>
    <col min="3438" max="3438" width="6.4140625" style="1"/>
    <col min="3439" max="3439" width="6.4140625" style="2"/>
    <col min="3440" max="3440" width="6.4140625" style="3"/>
    <col min="3441" max="3441" width="6.4140625" style="2"/>
    <col min="3442" max="3442" width="6.4140625" style="3"/>
    <col min="3443" max="3444" width="6.4140625" style="2"/>
    <col min="3445" max="3445" width="6.4140625" style="1"/>
    <col min="3446" max="3446" width="6.4140625" style="2"/>
    <col min="3447" max="3447" width="6.4140625" style="3"/>
    <col min="3448" max="3448" width="6.4140625" style="2"/>
    <col min="3449" max="3449" width="6.4140625" style="3"/>
    <col min="3450" max="3451" width="6.4140625" style="2"/>
    <col min="3452" max="3452" width="6.4140625" style="1"/>
    <col min="3453" max="3453" width="6.4140625" style="2"/>
    <col min="3454" max="3454" width="6.4140625" style="3"/>
    <col min="3455" max="3455" width="6.4140625" style="2"/>
    <col min="3456" max="3456" width="6.4140625" style="3"/>
    <col min="3457" max="3458" width="6.4140625" style="2"/>
    <col min="3459" max="3459" width="6.4140625" style="1"/>
    <col min="3460" max="3460" width="6.4140625" style="2"/>
    <col min="3461" max="3461" width="6.4140625" style="3"/>
    <col min="3462" max="3462" width="6.4140625" style="2"/>
    <col min="3463" max="3463" width="6.4140625" style="3"/>
    <col min="3464" max="3465" width="6.4140625" style="2"/>
    <col min="3466" max="3466" width="6.4140625" style="1"/>
    <col min="3467" max="3467" width="6.4140625" style="2"/>
    <col min="3468" max="3468" width="6.4140625" style="3"/>
    <col min="3469" max="3469" width="6.4140625" style="2"/>
    <col min="3470" max="3470" width="6.4140625" style="3"/>
    <col min="3471" max="3472" width="6.4140625" style="2"/>
    <col min="3473" max="3473" width="6.4140625" style="1"/>
    <col min="3474" max="3474" width="6.4140625" style="2"/>
    <col min="3475" max="3475" width="6.4140625" style="3"/>
    <col min="3476" max="3476" width="6.4140625" style="2"/>
    <col min="3477" max="3477" width="6.4140625" style="3"/>
    <col min="3478" max="3479" width="6.4140625" style="2"/>
    <col min="3480" max="3480" width="6.4140625" style="1"/>
    <col min="3481" max="3481" width="6.4140625" style="2"/>
    <col min="3482" max="3482" width="6.4140625" style="3"/>
    <col min="3483" max="3483" width="6.4140625" style="2"/>
    <col min="3484" max="3484" width="6.4140625" style="3"/>
    <col min="3485" max="3486" width="6.4140625" style="2"/>
    <col min="3487" max="3487" width="6.4140625" style="1"/>
    <col min="3488" max="3488" width="6.4140625" style="2"/>
    <col min="3489" max="3489" width="6.4140625" style="3"/>
    <col min="3490" max="3490" width="6.4140625" style="2"/>
    <col min="3491" max="3491" width="6.4140625" style="3"/>
    <col min="3492" max="3493" width="6.4140625" style="2"/>
    <col min="3494" max="3494" width="6.4140625" style="1"/>
    <col min="3495" max="3495" width="6.4140625" style="2"/>
    <col min="3496" max="3496" width="6.4140625" style="3"/>
    <col min="3497" max="3497" width="6.4140625" style="2"/>
    <col min="3498" max="3498" width="6.4140625" style="3"/>
    <col min="3499" max="3500" width="6.4140625" style="2"/>
    <col min="3501" max="3501" width="6.4140625" style="1"/>
    <col min="3502" max="3502" width="6.4140625" style="2"/>
    <col min="3503" max="3503" width="6.4140625" style="3"/>
    <col min="3504" max="3504" width="6.4140625" style="2"/>
    <col min="3505" max="3505" width="6.4140625" style="3"/>
    <col min="3506" max="3507" width="6.4140625" style="2"/>
    <col min="3508" max="3508" width="6.4140625" style="1"/>
    <col min="3509" max="3509" width="6.4140625" style="2"/>
    <col min="3510" max="3510" width="6.4140625" style="3"/>
    <col min="3511" max="3511" width="6.4140625" style="2"/>
    <col min="3512" max="3512" width="6.4140625" style="3"/>
    <col min="3513" max="3514" width="6.4140625" style="2"/>
    <col min="3515" max="3515" width="6.4140625" style="1"/>
    <col min="3516" max="3516" width="6.4140625" style="2"/>
    <col min="3517" max="3517" width="6.4140625" style="3"/>
    <col min="3518" max="3518" width="6.4140625" style="2"/>
    <col min="3519" max="3519" width="6.4140625" style="3"/>
    <col min="3520" max="3521" width="6.4140625" style="2"/>
    <col min="3522" max="3522" width="6.4140625" style="1"/>
    <col min="3523" max="3523" width="6.4140625" style="2"/>
    <col min="3524" max="3524" width="6.4140625" style="3"/>
    <col min="3525" max="3525" width="6.4140625" style="2"/>
    <col min="3526" max="3526" width="6.4140625" style="3"/>
    <col min="3527" max="3528" width="6.4140625" style="2"/>
    <col min="3529" max="3529" width="6.4140625" style="1"/>
    <col min="3530" max="3530" width="6.4140625" style="2"/>
    <col min="3531" max="3531" width="6.4140625" style="3"/>
    <col min="3532" max="3532" width="6.4140625" style="2"/>
    <col min="3533" max="3533" width="6.4140625" style="3"/>
    <col min="3534" max="3535" width="6.4140625" style="2"/>
    <col min="3536" max="3536" width="6.4140625" style="1"/>
    <col min="3537" max="3537" width="6.4140625" style="2"/>
    <col min="3538" max="3538" width="6.4140625" style="3"/>
    <col min="3539" max="3539" width="6.4140625" style="2"/>
    <col min="3540" max="3540" width="6.4140625" style="3"/>
    <col min="3541" max="3542" width="6.4140625" style="2"/>
    <col min="3543" max="3543" width="6.4140625" style="1"/>
    <col min="3544" max="3544" width="6.4140625" style="2"/>
    <col min="3545" max="3545" width="6.4140625" style="3"/>
    <col min="3546" max="3546" width="6.4140625" style="2"/>
    <col min="3547" max="3547" width="6.4140625" style="3"/>
    <col min="3548" max="3549" width="6.4140625" style="2"/>
    <col min="3550" max="3550" width="6.4140625" style="1"/>
    <col min="3551" max="3551" width="6.4140625" style="2"/>
    <col min="3552" max="3552" width="6.4140625" style="3"/>
    <col min="3553" max="3553" width="6.4140625" style="2"/>
    <col min="3554" max="3554" width="6.4140625" style="3"/>
    <col min="3555" max="3556" width="6.4140625" style="2"/>
    <col min="3557" max="3557" width="6.4140625" style="1"/>
    <col min="3558" max="3558" width="6.4140625" style="2"/>
    <col min="3559" max="3559" width="6.4140625" style="3"/>
    <col min="3560" max="3560" width="6.4140625" style="2"/>
    <col min="3561" max="3561" width="6.4140625" style="3"/>
    <col min="3562" max="3563" width="6.4140625" style="2"/>
    <col min="3564" max="3564" width="6.4140625" style="1"/>
    <col min="3565" max="3565" width="6.4140625" style="2"/>
    <col min="3566" max="3566" width="6.4140625" style="3"/>
    <col min="3567" max="3567" width="6.4140625" style="2"/>
    <col min="3568" max="3568" width="6.4140625" style="3"/>
    <col min="3569" max="3570" width="6.4140625" style="2"/>
    <col min="3571" max="3571" width="6.4140625" style="1"/>
    <col min="3572" max="3572" width="6.4140625" style="2"/>
    <col min="3573" max="3573" width="6.4140625" style="3"/>
    <col min="3574" max="3574" width="6.4140625" style="2"/>
    <col min="3575" max="3575" width="6.4140625" style="3"/>
    <col min="3576" max="3577" width="6.4140625" style="2"/>
    <col min="3578" max="3578" width="6.4140625" style="1"/>
    <col min="3579" max="3579" width="6.4140625" style="2"/>
    <col min="3580" max="3580" width="6.4140625" style="3"/>
    <col min="3581" max="3581" width="6.4140625" style="2"/>
    <col min="3582" max="3582" width="6.4140625" style="3"/>
    <col min="3583" max="3584" width="6.4140625" style="2"/>
    <col min="3585" max="3585" width="6.4140625" style="1"/>
    <col min="3586" max="3586" width="6.4140625" style="2"/>
    <col min="3587" max="3587" width="6.4140625" style="3"/>
    <col min="3588" max="3588" width="6.4140625" style="2"/>
    <col min="3589" max="3589" width="6.4140625" style="3"/>
    <col min="3590" max="3591" width="6.4140625" style="2"/>
    <col min="3592" max="3592" width="6.4140625" style="1"/>
    <col min="3593" max="3593" width="6.4140625" style="2"/>
    <col min="3594" max="3594" width="6.4140625" style="3"/>
    <col min="3595" max="3595" width="6.4140625" style="2"/>
    <col min="3596" max="3596" width="6.4140625" style="3"/>
    <col min="3597" max="3598" width="6.4140625" style="2"/>
    <col min="3599" max="3599" width="6.4140625" style="1"/>
    <col min="3600" max="3600" width="6.4140625" style="2"/>
    <col min="3601" max="3601" width="6.4140625" style="3"/>
    <col min="3602" max="3602" width="6.4140625" style="2"/>
    <col min="3603" max="3603" width="6.4140625" style="3"/>
    <col min="3604" max="3605" width="6.4140625" style="2"/>
    <col min="3606" max="3606" width="6.4140625" style="1"/>
    <col min="3607" max="3607" width="6.4140625" style="2"/>
    <col min="3608" max="3608" width="6.4140625" style="3"/>
    <col min="3609" max="3609" width="6.4140625" style="2"/>
    <col min="3610" max="3610" width="6.4140625" style="3"/>
    <col min="3611" max="3612" width="6.4140625" style="2"/>
    <col min="3613" max="3613" width="6.4140625" style="1"/>
    <col min="3614" max="3614" width="6.4140625" style="2"/>
    <col min="3615" max="3615" width="6.4140625" style="3"/>
    <col min="3616" max="3616" width="6.4140625" style="2"/>
    <col min="3617" max="3617" width="6.4140625" style="3"/>
    <col min="3618" max="3619" width="6.4140625" style="2"/>
    <col min="3620" max="3620" width="6.4140625" style="1"/>
    <col min="3621" max="3621" width="6.4140625" style="2"/>
    <col min="3622" max="3622" width="6.4140625" style="3"/>
    <col min="3623" max="3623" width="6.4140625" style="2"/>
    <col min="3624" max="3624" width="6.4140625" style="3"/>
    <col min="3625" max="3626" width="6.4140625" style="2"/>
    <col min="3627" max="3627" width="6.4140625" style="1"/>
    <col min="3628" max="3628" width="6.4140625" style="2"/>
    <col min="3629" max="3629" width="6.4140625" style="3"/>
    <col min="3630" max="3630" width="6.4140625" style="2"/>
    <col min="3631" max="3631" width="6.4140625" style="3"/>
    <col min="3632" max="3633" width="6.4140625" style="2"/>
    <col min="3634" max="3634" width="6.4140625" style="1"/>
    <col min="3635" max="3635" width="6.4140625" style="2"/>
    <col min="3636" max="3636" width="6.4140625" style="3"/>
    <col min="3637" max="3637" width="6.4140625" style="2"/>
    <col min="3638" max="3638" width="6.4140625" style="3"/>
    <col min="3639" max="3640" width="6.4140625" style="2"/>
    <col min="3641" max="3641" width="6.4140625" style="1"/>
    <col min="3642" max="3642" width="6.4140625" style="2"/>
    <col min="3643" max="3643" width="6.4140625" style="3"/>
    <col min="3644" max="3644" width="6.4140625" style="2"/>
    <col min="3645" max="3645" width="6.4140625" style="3"/>
    <col min="3646" max="3647" width="6.4140625" style="2"/>
    <col min="3648" max="3648" width="6.4140625" style="1"/>
    <col min="3649" max="3649" width="6.4140625" style="2"/>
    <col min="3650" max="3650" width="6.4140625" style="3"/>
    <col min="3651" max="3651" width="6.4140625" style="2"/>
    <col min="3652" max="3652" width="6.4140625" style="3"/>
    <col min="3653" max="3654" width="6.4140625" style="2"/>
    <col min="3655" max="3655" width="6.4140625" style="1"/>
    <col min="3656" max="3656" width="6.4140625" style="2"/>
    <col min="3657" max="3657" width="6.4140625" style="3"/>
    <col min="3658" max="3658" width="6.4140625" style="2"/>
    <col min="3659" max="3659" width="6.4140625" style="3"/>
    <col min="3660" max="3661" width="6.4140625" style="2"/>
    <col min="3662" max="3662" width="6.4140625" style="1"/>
    <col min="3663" max="3663" width="6.4140625" style="2"/>
    <col min="3664" max="3664" width="6.4140625" style="3"/>
    <col min="3665" max="3665" width="6.4140625" style="2"/>
    <col min="3666" max="3666" width="6.4140625" style="3"/>
    <col min="3667" max="3668" width="6.4140625" style="2"/>
    <col min="3669" max="3669" width="6.4140625" style="1"/>
    <col min="3670" max="3670" width="6.4140625" style="2"/>
    <col min="3671" max="3671" width="6.4140625" style="3"/>
    <col min="3672" max="3672" width="6.4140625" style="2"/>
    <col min="3673" max="3673" width="6.4140625" style="3"/>
    <col min="3674" max="3675" width="6.4140625" style="2"/>
    <col min="3676" max="3676" width="6.4140625" style="1"/>
    <col min="3677" max="3677" width="6.4140625" style="2"/>
    <col min="3678" max="3678" width="6.4140625" style="3"/>
    <col min="3679" max="3679" width="6.4140625" style="2"/>
    <col min="3680" max="3680" width="6.4140625" style="3"/>
    <col min="3681" max="3682" width="6.4140625" style="2"/>
    <col min="3683" max="3683" width="6.4140625" style="1"/>
    <col min="3684" max="3684" width="6.4140625" style="2"/>
    <col min="3685" max="3685" width="6.4140625" style="3"/>
    <col min="3686" max="3686" width="6.4140625" style="2"/>
    <col min="3687" max="3687" width="6.4140625" style="3"/>
    <col min="3688" max="3689" width="6.4140625" style="2"/>
    <col min="3690" max="3690" width="6.4140625" style="1"/>
    <col min="3691" max="3691" width="6.4140625" style="2"/>
    <col min="3692" max="3692" width="6.4140625" style="3"/>
    <col min="3693" max="3693" width="6.4140625" style="2"/>
    <col min="3694" max="3694" width="6.4140625" style="3"/>
    <col min="3695" max="3696" width="6.4140625" style="2"/>
    <col min="3697" max="3697" width="6.4140625" style="1"/>
    <col min="3698" max="3698" width="6.4140625" style="2"/>
    <col min="3699" max="3699" width="6.4140625" style="3"/>
    <col min="3700" max="3700" width="6.4140625" style="2"/>
    <col min="3701" max="3701" width="6.4140625" style="3"/>
    <col min="3702" max="3703" width="6.4140625" style="2"/>
    <col min="3704" max="3704" width="6.4140625" style="1"/>
    <col min="3705" max="3705" width="6.4140625" style="2"/>
    <col min="3706" max="3706" width="6.4140625" style="3"/>
    <col min="3707" max="3707" width="6.4140625" style="2"/>
    <col min="3708" max="3708" width="6.4140625" style="3"/>
    <col min="3709" max="3710" width="6.4140625" style="2"/>
    <col min="3711" max="3711" width="6.4140625" style="1"/>
    <col min="3712" max="3712" width="6.4140625" style="2"/>
    <col min="3713" max="3713" width="6.4140625" style="3"/>
    <col min="3714" max="3714" width="6.4140625" style="2"/>
    <col min="3715" max="3715" width="6.4140625" style="3"/>
    <col min="3716" max="3717" width="6.4140625" style="2"/>
    <col min="3718" max="3718" width="6.4140625" style="1"/>
    <col min="3719" max="3719" width="6.4140625" style="2"/>
    <col min="3720" max="3720" width="6.4140625" style="3"/>
    <col min="3721" max="3721" width="6.4140625" style="2"/>
    <col min="3722" max="3722" width="6.4140625" style="3"/>
    <col min="3723" max="3724" width="6.4140625" style="2"/>
    <col min="3725" max="3725" width="6.4140625" style="1"/>
    <col min="3726" max="3726" width="6.4140625" style="2"/>
    <col min="3727" max="3727" width="6.4140625" style="3"/>
    <col min="3728" max="3728" width="6.4140625" style="2"/>
    <col min="3729" max="3729" width="6.4140625" style="3"/>
    <col min="3730" max="3731" width="6.4140625" style="2"/>
    <col min="3732" max="3732" width="6.4140625" style="1"/>
    <col min="3733" max="3733" width="6.4140625" style="2"/>
    <col min="3734" max="3734" width="6.4140625" style="3"/>
    <col min="3735" max="3735" width="6.4140625" style="2"/>
    <col min="3736" max="3736" width="6.4140625" style="3"/>
    <col min="3737" max="3738" width="6.4140625" style="2"/>
    <col min="3739" max="3739" width="6.4140625" style="1"/>
    <col min="3740" max="3740" width="6.4140625" style="2"/>
    <col min="3741" max="3741" width="6.4140625" style="3"/>
    <col min="3742" max="3742" width="6.4140625" style="2"/>
    <col min="3743" max="3743" width="6.4140625" style="3"/>
    <col min="3744" max="3745" width="6.4140625" style="2"/>
    <col min="3746" max="3746" width="6.4140625" style="1"/>
    <col min="3747" max="3747" width="6.4140625" style="2"/>
    <col min="3748" max="3748" width="6.4140625" style="3"/>
    <col min="3749" max="3749" width="6.4140625" style="2"/>
    <col min="3750" max="3750" width="6.4140625" style="3"/>
    <col min="3751" max="3752" width="6.4140625" style="2"/>
    <col min="3753" max="3753" width="6.4140625" style="1"/>
    <col min="3754" max="3754" width="6.4140625" style="2"/>
    <col min="3755" max="3755" width="6.4140625" style="3"/>
    <col min="3756" max="3756" width="6.4140625" style="2"/>
    <col min="3757" max="3757" width="6.4140625" style="3"/>
    <col min="3758" max="3759" width="6.4140625" style="2"/>
    <col min="3760" max="3760" width="6.4140625" style="1"/>
    <col min="3761" max="3761" width="6.4140625" style="2"/>
    <col min="3762" max="3762" width="6.4140625" style="3"/>
    <col min="3763" max="3763" width="6.4140625" style="2"/>
    <col min="3764" max="3764" width="6.4140625" style="3"/>
    <col min="3765" max="3766" width="6.4140625" style="2"/>
    <col min="3767" max="3767" width="6.4140625" style="1"/>
    <col min="3768" max="3768" width="6.4140625" style="2"/>
    <col min="3769" max="3769" width="6.4140625" style="3"/>
    <col min="3770" max="3770" width="6.4140625" style="2"/>
    <col min="3771" max="3771" width="6.4140625" style="3"/>
    <col min="3772" max="3773" width="6.4140625" style="2"/>
    <col min="3774" max="3774" width="6.4140625" style="1"/>
    <col min="3775" max="3775" width="6.4140625" style="2"/>
    <col min="3776" max="3776" width="6.4140625" style="3"/>
    <col min="3777" max="3777" width="6.4140625" style="2"/>
    <col min="3778" max="3778" width="6.4140625" style="3"/>
    <col min="3779" max="3780" width="6.4140625" style="2"/>
    <col min="3781" max="3781" width="6.4140625" style="1"/>
    <col min="3782" max="3782" width="6.4140625" style="2"/>
    <col min="3783" max="3783" width="6.4140625" style="3"/>
    <col min="3784" max="3784" width="6.4140625" style="2"/>
    <col min="3785" max="3785" width="6.4140625" style="3"/>
    <col min="3786" max="3787" width="6.4140625" style="2"/>
    <col min="3788" max="3788" width="6.4140625" style="1"/>
    <col min="3789" max="3789" width="6.4140625" style="2"/>
    <col min="3790" max="3790" width="6.4140625" style="3"/>
    <col min="3791" max="3791" width="6.4140625" style="2"/>
    <col min="3792" max="3792" width="6.4140625" style="3"/>
    <col min="3793" max="3794" width="6.4140625" style="2"/>
    <col min="3795" max="3795" width="6.4140625" style="1"/>
    <col min="3796" max="3796" width="6.4140625" style="2"/>
    <col min="3797" max="3797" width="6.4140625" style="3"/>
    <col min="3798" max="3798" width="6.4140625" style="2"/>
    <col min="3799" max="3799" width="6.4140625" style="3"/>
    <col min="3800" max="3801" width="6.4140625" style="2"/>
    <col min="3802" max="3802" width="6.4140625" style="1"/>
    <col min="3803" max="3803" width="6.4140625" style="2"/>
    <col min="3804" max="3804" width="6.4140625" style="3"/>
    <col min="3805" max="3805" width="6.4140625" style="2"/>
    <col min="3806" max="3806" width="6.4140625" style="3"/>
    <col min="3807" max="3808" width="6.4140625" style="2"/>
    <col min="3809" max="3809" width="6.4140625" style="1"/>
    <col min="3810" max="3810" width="6.4140625" style="2"/>
    <col min="3811" max="3811" width="6.4140625" style="3"/>
    <col min="3812" max="3812" width="6.4140625" style="2"/>
    <col min="3813" max="3813" width="6.4140625" style="3"/>
    <col min="3814" max="3815" width="6.4140625" style="2"/>
    <col min="3816" max="3816" width="6.4140625" style="1"/>
    <col min="3817" max="3817" width="6.4140625" style="2"/>
    <col min="3818" max="3818" width="6.4140625" style="3"/>
    <col min="3819" max="3819" width="6.4140625" style="2"/>
    <col min="3820" max="3820" width="6.4140625" style="3"/>
    <col min="3821" max="3822" width="6.4140625" style="2"/>
    <col min="3823" max="3823" width="6.4140625" style="1"/>
    <col min="3824" max="3824" width="6.4140625" style="2"/>
    <col min="3825" max="3825" width="6.4140625" style="3"/>
    <col min="3826" max="3826" width="6.4140625" style="2"/>
    <col min="3827" max="3827" width="6.4140625" style="3"/>
    <col min="3828" max="3829" width="6.4140625" style="2"/>
    <col min="3830" max="3830" width="6.4140625" style="1"/>
    <col min="3831" max="3831" width="6.4140625" style="2"/>
    <col min="3832" max="3832" width="6.4140625" style="3"/>
    <col min="3833" max="3833" width="6.4140625" style="2"/>
    <col min="3834" max="3834" width="6.4140625" style="3"/>
    <col min="3835" max="3836" width="6.4140625" style="2"/>
    <col min="3837" max="3837" width="6.4140625" style="1"/>
    <col min="3838" max="3838" width="6.4140625" style="2"/>
    <col min="3839" max="3839" width="6.4140625" style="3"/>
    <col min="3840" max="3840" width="6.4140625" style="2"/>
    <col min="3841" max="3841" width="6.4140625" style="3"/>
    <col min="3842" max="3843" width="6.4140625" style="2"/>
    <col min="3844" max="3844" width="6.4140625" style="1"/>
    <col min="3845" max="3845" width="6.4140625" style="2"/>
    <col min="3846" max="3846" width="6.4140625" style="3"/>
    <col min="3847" max="3847" width="6.4140625" style="2"/>
    <col min="3848" max="3848" width="6.4140625" style="3"/>
    <col min="3849" max="3850" width="6.4140625" style="2"/>
    <col min="3851" max="3851" width="6.4140625" style="1"/>
    <col min="3852" max="3852" width="6.4140625" style="2"/>
    <col min="3853" max="3853" width="6.4140625" style="3"/>
    <col min="3854" max="3854" width="6.4140625" style="2"/>
    <col min="3855" max="3855" width="6.4140625" style="3"/>
    <col min="3856" max="3857" width="6.4140625" style="2"/>
    <col min="3858" max="3858" width="6.4140625" style="1"/>
    <col min="3859" max="3859" width="6.4140625" style="2"/>
    <col min="3860" max="3860" width="6.4140625" style="3"/>
    <col min="3861" max="3861" width="6.4140625" style="2"/>
    <col min="3862" max="3862" width="6.4140625" style="3"/>
    <col min="3863" max="3864" width="6.4140625" style="2"/>
    <col min="3865" max="3865" width="6.4140625" style="1"/>
    <col min="3866" max="3866" width="6.4140625" style="2"/>
    <col min="3867" max="3867" width="6.4140625" style="3"/>
    <col min="3868" max="3868" width="6.4140625" style="2"/>
    <col min="3869" max="3869" width="6.4140625" style="3"/>
    <col min="3870" max="3871" width="6.4140625" style="2"/>
    <col min="3872" max="3872" width="6.4140625" style="1"/>
    <col min="3873" max="3873" width="6.4140625" style="2"/>
    <col min="3874" max="3874" width="6.4140625" style="3"/>
    <col min="3875" max="3875" width="6.4140625" style="2"/>
    <col min="3876" max="3876" width="6.4140625" style="3"/>
    <col min="3877" max="3878" width="6.4140625" style="2"/>
    <col min="3879" max="3879" width="6.4140625" style="1"/>
    <col min="3880" max="3880" width="6.4140625" style="2"/>
    <col min="3881" max="3881" width="6.4140625" style="3"/>
    <col min="3882" max="3882" width="6.4140625" style="2"/>
    <col min="3883" max="3883" width="6.4140625" style="3"/>
    <col min="3884" max="3885" width="6.4140625" style="2"/>
    <col min="3886" max="3886" width="6.4140625" style="1"/>
    <col min="3887" max="3887" width="6.4140625" style="2"/>
    <col min="3888" max="3888" width="6.4140625" style="3"/>
    <col min="3889" max="3889" width="6.4140625" style="2"/>
    <col min="3890" max="3890" width="6.4140625" style="3"/>
    <col min="3891" max="3892" width="6.4140625" style="2"/>
    <col min="3893" max="3893" width="6.4140625" style="1"/>
    <col min="3894" max="3894" width="6.4140625" style="2"/>
    <col min="3895" max="3895" width="6.4140625" style="3"/>
    <col min="3896" max="3896" width="6.4140625" style="2"/>
    <col min="3897" max="3897" width="6.4140625" style="3"/>
    <col min="3898" max="3899" width="6.4140625" style="2"/>
    <col min="3900" max="3900" width="6.4140625" style="1"/>
    <col min="3901" max="3901" width="6.4140625" style="2"/>
    <col min="3902" max="3902" width="6.4140625" style="3"/>
    <col min="3903" max="3903" width="6.4140625" style="2"/>
    <col min="3904" max="3904" width="6.4140625" style="3"/>
    <col min="3905" max="3906" width="6.4140625" style="2"/>
    <col min="3907" max="3907" width="6.4140625" style="1"/>
    <col min="3908" max="3908" width="6.4140625" style="2"/>
    <col min="3909" max="3909" width="6.4140625" style="3"/>
    <col min="3910" max="3910" width="6.4140625" style="2"/>
    <col min="3911" max="3911" width="6.4140625" style="3"/>
    <col min="3912" max="3913" width="6.4140625" style="2"/>
    <col min="3914" max="3914" width="6.4140625" style="1"/>
    <col min="3915" max="3915" width="6.4140625" style="2"/>
    <col min="3916" max="3916" width="6.4140625" style="3"/>
    <col min="3917" max="3917" width="6.4140625" style="2"/>
    <col min="3918" max="3918" width="6.4140625" style="3"/>
    <col min="3919" max="3920" width="6.4140625" style="2"/>
    <col min="3921" max="3921" width="6.4140625" style="1"/>
    <col min="3922" max="3922" width="6.4140625" style="2"/>
    <col min="3923" max="3923" width="6.4140625" style="3"/>
    <col min="3924" max="3924" width="6.4140625" style="2"/>
    <col min="3925" max="3925" width="6.4140625" style="3"/>
    <col min="3926" max="3927" width="6.4140625" style="2"/>
    <col min="3928" max="3928" width="6.4140625" style="1"/>
    <col min="3929" max="3929" width="6.4140625" style="2"/>
    <col min="3930" max="3930" width="6.4140625" style="3"/>
    <col min="3931" max="3931" width="6.4140625" style="2"/>
    <col min="3932" max="3932" width="6.4140625" style="3"/>
    <col min="3933" max="3934" width="6.4140625" style="2"/>
    <col min="3935" max="3935" width="6.4140625" style="1"/>
    <col min="3936" max="3936" width="6.4140625" style="2"/>
    <col min="3937" max="3937" width="6.4140625" style="3"/>
    <col min="3938" max="3938" width="6.4140625" style="2"/>
    <col min="3939" max="3939" width="6.4140625" style="3"/>
    <col min="3940" max="3941" width="6.4140625" style="2"/>
    <col min="3942" max="3942" width="6.4140625" style="1"/>
    <col min="3943" max="3943" width="6.4140625" style="2"/>
    <col min="3944" max="3944" width="6.4140625" style="3"/>
    <col min="3945" max="3945" width="6.4140625" style="2"/>
    <col min="3946" max="3946" width="6.4140625" style="3"/>
    <col min="3947" max="3948" width="6.4140625" style="2"/>
    <col min="3949" max="3949" width="6.4140625" style="1"/>
    <col min="3950" max="3950" width="6.4140625" style="2"/>
    <col min="3951" max="3951" width="6.4140625" style="3"/>
    <col min="3952" max="3952" width="6.4140625" style="2"/>
    <col min="3953" max="3953" width="6.4140625" style="3"/>
    <col min="3954" max="3955" width="6.4140625" style="2"/>
    <col min="3956" max="3956" width="6.4140625" style="1"/>
    <col min="3957" max="3957" width="6.4140625" style="2"/>
    <col min="3958" max="3958" width="6.4140625" style="3"/>
    <col min="3959" max="3959" width="6.4140625" style="2"/>
    <col min="3960" max="3960" width="6.4140625" style="3"/>
    <col min="3961" max="3962" width="6.4140625" style="2"/>
    <col min="3963" max="3963" width="6.4140625" style="1"/>
    <col min="3964" max="3964" width="6.4140625" style="2"/>
    <col min="3965" max="3965" width="6.4140625" style="3"/>
    <col min="3966" max="3966" width="6.4140625" style="2"/>
    <col min="3967" max="3967" width="6.4140625" style="3"/>
    <col min="3968" max="3969" width="6.4140625" style="2"/>
    <col min="3970" max="3970" width="6.4140625" style="1"/>
    <col min="3971" max="3971" width="6.4140625" style="2"/>
    <col min="3972" max="3972" width="6.4140625" style="3"/>
    <col min="3973" max="3973" width="6.4140625" style="2"/>
    <col min="3974" max="3974" width="6.4140625" style="3"/>
    <col min="3975" max="3976" width="6.4140625" style="2"/>
    <col min="3977" max="3977" width="6.4140625" style="1"/>
    <col min="3978" max="3978" width="6.4140625" style="2"/>
    <col min="3979" max="3979" width="6.4140625" style="3"/>
    <col min="3980" max="3980" width="6.4140625" style="2"/>
    <col min="3981" max="3981" width="6.4140625" style="3"/>
    <col min="3982" max="3983" width="6.4140625" style="2"/>
    <col min="3984" max="3984" width="6.4140625" style="1"/>
    <col min="3985" max="3985" width="6.4140625" style="2"/>
    <col min="3986" max="3986" width="6.4140625" style="3"/>
    <col min="3987" max="3987" width="6.4140625" style="2"/>
    <col min="3988" max="3988" width="6.4140625" style="3"/>
    <col min="3989" max="3990" width="6.4140625" style="2"/>
    <col min="3991" max="3991" width="6.4140625" style="1"/>
    <col min="3992" max="3992" width="6.4140625" style="2"/>
    <col min="3993" max="3993" width="6.4140625" style="3"/>
    <col min="3994" max="3994" width="6.4140625" style="2"/>
    <col min="3995" max="3995" width="6.4140625" style="3"/>
    <col min="3996" max="3997" width="6.4140625" style="2"/>
    <col min="3998" max="3998" width="6.4140625" style="1"/>
    <col min="3999" max="3999" width="6.4140625" style="2"/>
    <col min="4000" max="4000" width="6.4140625" style="3"/>
    <col min="4001" max="4001" width="6.4140625" style="2"/>
    <col min="4002" max="4002" width="6.4140625" style="3"/>
    <col min="4003" max="4004" width="6.4140625" style="2"/>
    <col min="4005" max="4005" width="6.4140625" style="1"/>
    <col min="4006" max="4006" width="6.4140625" style="2"/>
    <col min="4007" max="4007" width="6.4140625" style="3"/>
    <col min="4008" max="4008" width="6.4140625" style="2"/>
    <col min="4009" max="4009" width="6.4140625" style="3"/>
    <col min="4010" max="4011" width="6.4140625" style="2"/>
    <col min="4012" max="4012" width="6.4140625" style="1"/>
    <col min="4013" max="4013" width="6.4140625" style="2"/>
    <col min="4014" max="4014" width="6.4140625" style="3"/>
    <col min="4015" max="4015" width="6.4140625" style="2"/>
    <col min="4016" max="4016" width="6.4140625" style="3"/>
    <col min="4017" max="4018" width="6.4140625" style="2"/>
    <col min="4019" max="4019" width="6.4140625" style="1"/>
    <col min="4020" max="4020" width="6.4140625" style="2"/>
    <col min="4021" max="4021" width="6.4140625" style="3"/>
    <col min="4022" max="4022" width="6.4140625" style="2"/>
    <col min="4023" max="4023" width="6.4140625" style="3"/>
    <col min="4024" max="4025" width="6.4140625" style="2"/>
    <col min="4026" max="4026" width="6.4140625" style="1"/>
    <col min="4027" max="4027" width="6.4140625" style="2"/>
    <col min="4028" max="4028" width="6.4140625" style="3"/>
    <col min="4029" max="4029" width="6.4140625" style="2"/>
    <col min="4030" max="4030" width="6.4140625" style="3"/>
    <col min="4031" max="4032" width="6.4140625" style="2"/>
    <col min="4033" max="4033" width="6.4140625" style="1"/>
    <col min="4034" max="4034" width="6.4140625" style="2"/>
    <col min="4035" max="4035" width="6.4140625" style="3"/>
    <col min="4036" max="4036" width="6.4140625" style="2"/>
    <col min="4037" max="4037" width="6.4140625" style="3"/>
    <col min="4038" max="4039" width="6.4140625" style="2"/>
    <col min="4040" max="4040" width="6.4140625" style="1"/>
    <col min="4041" max="4041" width="6.4140625" style="2"/>
    <col min="4042" max="4042" width="6.4140625" style="3"/>
    <col min="4043" max="4043" width="6.4140625" style="2"/>
    <col min="4044" max="4044" width="6.4140625" style="3"/>
    <col min="4045" max="4046" width="6.4140625" style="2"/>
    <col min="4047" max="4047" width="6.4140625" style="1"/>
    <col min="4048" max="4048" width="6.4140625" style="2"/>
    <col min="4049" max="4049" width="6.4140625" style="3"/>
    <col min="4050" max="4050" width="6.4140625" style="2"/>
    <col min="4051" max="4051" width="6.4140625" style="3"/>
    <col min="4052" max="4053" width="6.4140625" style="2"/>
    <col min="4054" max="4054" width="6.4140625" style="1"/>
    <col min="4055" max="4055" width="6.4140625" style="2"/>
    <col min="4056" max="4056" width="6.4140625" style="3"/>
    <col min="4057" max="4057" width="6.4140625" style="2"/>
    <col min="4058" max="4058" width="6.4140625" style="3"/>
    <col min="4059" max="4060" width="6.4140625" style="2"/>
    <col min="4061" max="4061" width="6.4140625" style="1"/>
    <col min="4062" max="4062" width="6.4140625" style="2"/>
    <col min="4063" max="4063" width="6.4140625" style="3"/>
    <col min="4064" max="4064" width="6.4140625" style="2"/>
    <col min="4065" max="4065" width="6.4140625" style="3"/>
    <col min="4066" max="4067" width="6.4140625" style="2"/>
    <col min="4068" max="4068" width="6.4140625" style="1"/>
    <col min="4069" max="4069" width="6.4140625" style="2"/>
    <col min="4070" max="4070" width="6.4140625" style="3"/>
    <col min="4071" max="4071" width="6.4140625" style="2"/>
    <col min="4072" max="4072" width="6.4140625" style="3"/>
    <col min="4073" max="4074" width="6.4140625" style="2"/>
    <col min="4075" max="4075" width="6.4140625" style="1"/>
    <col min="4076" max="4076" width="6.4140625" style="2"/>
    <col min="4077" max="4077" width="6.4140625" style="3"/>
    <col min="4078" max="4078" width="6.4140625" style="2"/>
    <col min="4079" max="4079" width="6.4140625" style="3"/>
    <col min="4080" max="4081" width="6.4140625" style="2"/>
    <col min="4082" max="4082" width="6.4140625" style="1"/>
    <col min="4083" max="4083" width="6.4140625" style="2"/>
    <col min="4084" max="4084" width="6.4140625" style="3"/>
    <col min="4085" max="4085" width="6.4140625" style="2"/>
    <col min="4086" max="4086" width="6.4140625" style="3"/>
    <col min="4087" max="4088" width="6.4140625" style="2"/>
    <col min="4089" max="4089" width="6.4140625" style="1"/>
    <col min="4090" max="4090" width="6.4140625" style="2"/>
    <col min="4091" max="4091" width="6.4140625" style="3"/>
    <col min="4092" max="4092" width="6.4140625" style="2"/>
    <col min="4093" max="4093" width="6.4140625" style="3"/>
    <col min="4094" max="4095" width="6.4140625" style="2"/>
    <col min="4096" max="4096" width="6.4140625" style="1"/>
    <col min="4097" max="4097" width="6.4140625" style="2"/>
    <col min="4098" max="4098" width="6.4140625" style="3"/>
    <col min="4099" max="4099" width="6.4140625" style="2"/>
    <col min="4100" max="4100" width="6.4140625" style="3"/>
    <col min="4101" max="4102" width="6.4140625" style="2"/>
    <col min="4103" max="4103" width="6.4140625" style="1"/>
    <col min="4104" max="4104" width="6.4140625" style="2"/>
    <col min="4105" max="4105" width="6.4140625" style="3"/>
    <col min="4106" max="4106" width="6.4140625" style="2"/>
    <col min="4107" max="4107" width="6.4140625" style="3"/>
    <col min="4108" max="4109" width="6.4140625" style="2"/>
    <col min="4110" max="4110" width="6.4140625" style="1"/>
    <col min="4111" max="4111" width="6.4140625" style="2"/>
    <col min="4112" max="4112" width="6.4140625" style="3"/>
    <col min="4113" max="4113" width="6.4140625" style="2"/>
    <col min="4114" max="4114" width="6.4140625" style="3"/>
    <col min="4115" max="4116" width="6.4140625" style="2"/>
    <col min="4117" max="4117" width="6.4140625" style="1"/>
    <col min="4118" max="4118" width="6.4140625" style="2"/>
    <col min="4119" max="4119" width="6.4140625" style="3"/>
    <col min="4120" max="4120" width="6.4140625" style="2"/>
    <col min="4121" max="4121" width="6.4140625" style="3"/>
    <col min="4122" max="4123" width="6.4140625" style="2"/>
    <col min="4124" max="4124" width="6.4140625" style="1"/>
    <col min="4125" max="4125" width="6.4140625" style="2"/>
    <col min="4126" max="4126" width="6.4140625" style="3"/>
    <col min="4127" max="4127" width="6.4140625" style="2"/>
    <col min="4128" max="4128" width="6.4140625" style="3"/>
    <col min="4129" max="4130" width="6.4140625" style="2"/>
    <col min="4131" max="4131" width="6.4140625" style="1"/>
    <col min="4132" max="4132" width="6.4140625" style="2"/>
    <col min="4133" max="4133" width="6.4140625" style="3"/>
    <col min="4134" max="4134" width="6.4140625" style="2"/>
    <col min="4135" max="4135" width="6.4140625" style="3"/>
    <col min="4136" max="4137" width="6.4140625" style="2"/>
    <col min="4138" max="4138" width="6.4140625" style="1"/>
    <col min="4139" max="4139" width="6.4140625" style="2"/>
    <col min="4140" max="4140" width="6.4140625" style="3"/>
    <col min="4141" max="4141" width="6.4140625" style="2"/>
    <col min="4142" max="4142" width="6.4140625" style="3"/>
    <col min="4143" max="4144" width="6.4140625" style="2"/>
    <col min="4145" max="4145" width="6.4140625" style="1"/>
    <col min="4146" max="4146" width="6.4140625" style="2"/>
    <col min="4147" max="4147" width="6.4140625" style="3"/>
    <col min="4148" max="4148" width="6.4140625" style="2"/>
    <col min="4149" max="4149" width="6.4140625" style="3"/>
    <col min="4150" max="4151" width="6.4140625" style="2"/>
    <col min="4152" max="4152" width="6.4140625" style="1"/>
    <col min="4153" max="4153" width="6.4140625" style="2"/>
    <col min="4154" max="4154" width="6.4140625" style="3"/>
    <col min="4155" max="4155" width="6.4140625" style="2"/>
    <col min="4156" max="4156" width="6.4140625" style="3"/>
    <col min="4157" max="4158" width="6.4140625" style="2"/>
    <col min="4159" max="4159" width="6.4140625" style="1"/>
    <col min="4160" max="4160" width="6.4140625" style="2"/>
    <col min="4161" max="4161" width="6.4140625" style="3"/>
    <col min="4162" max="4162" width="6.4140625" style="2"/>
    <col min="4163" max="4163" width="6.4140625" style="3"/>
    <col min="4164" max="4165" width="6.4140625" style="2"/>
    <col min="4166" max="4166" width="6.4140625" style="1"/>
    <col min="4167" max="4167" width="6.4140625" style="2"/>
    <col min="4168" max="4168" width="6.4140625" style="3"/>
    <col min="4169" max="4169" width="6.4140625" style="2"/>
    <col min="4170" max="4170" width="6.4140625" style="3"/>
    <col min="4171" max="4172" width="6.4140625" style="2"/>
    <col min="4173" max="4173" width="6.4140625" style="1"/>
    <col min="4174" max="4174" width="6.4140625" style="2"/>
    <col min="4175" max="4175" width="6.4140625" style="3"/>
    <col min="4176" max="4176" width="6.4140625" style="2"/>
    <col min="4177" max="4177" width="6.4140625" style="3"/>
    <col min="4178" max="4179" width="6.4140625" style="2"/>
    <col min="4180" max="4180" width="6.4140625" style="1"/>
    <col min="4181" max="4181" width="6.4140625" style="2"/>
    <col min="4182" max="4182" width="6.4140625" style="3"/>
    <col min="4183" max="4183" width="6.4140625" style="2"/>
    <col min="4184" max="4184" width="6.4140625" style="3"/>
    <col min="4185" max="4186" width="6.4140625" style="2"/>
    <col min="4187" max="4187" width="6.4140625" style="1"/>
    <col min="4188" max="4188" width="6.4140625" style="2"/>
    <col min="4189" max="4189" width="6.4140625" style="3"/>
    <col min="4190" max="4190" width="6.4140625" style="2"/>
    <col min="4191" max="4191" width="6.4140625" style="3"/>
    <col min="4192" max="4193" width="6.4140625" style="2"/>
    <col min="4194" max="4194" width="6.4140625" style="1"/>
    <col min="4195" max="4195" width="6.4140625" style="2"/>
    <col min="4196" max="4196" width="6.4140625" style="3"/>
    <col min="4197" max="4197" width="6.4140625" style="2"/>
    <col min="4198" max="4198" width="6.4140625" style="3"/>
    <col min="4199" max="4200" width="6.4140625" style="2"/>
    <col min="4201" max="4201" width="6.4140625" style="1"/>
    <col min="4202" max="4202" width="6.4140625" style="2"/>
    <col min="4203" max="4203" width="6.4140625" style="3"/>
    <col min="4204" max="4204" width="6.4140625" style="2"/>
    <col min="4205" max="4205" width="6.4140625" style="3"/>
    <col min="4206" max="4207" width="6.4140625" style="2"/>
    <col min="4208" max="4208" width="6.4140625" style="1"/>
    <col min="4209" max="4209" width="6.4140625" style="2"/>
    <col min="4210" max="4210" width="6.4140625" style="3"/>
    <col min="4211" max="4211" width="6.4140625" style="2"/>
    <col min="4212" max="4212" width="6.4140625" style="3"/>
    <col min="4213" max="4214" width="6.4140625" style="2"/>
    <col min="4215" max="4215" width="6.4140625" style="1"/>
    <col min="4216" max="4216" width="6.4140625" style="2"/>
    <col min="4217" max="4217" width="6.4140625" style="3"/>
    <col min="4218" max="4218" width="6.4140625" style="2"/>
    <col min="4219" max="4219" width="6.4140625" style="3"/>
    <col min="4220" max="4221" width="6.4140625" style="2"/>
    <col min="4222" max="4222" width="6.4140625" style="1"/>
    <col min="4223" max="4223" width="6.4140625" style="2"/>
    <col min="4224" max="4224" width="6.4140625" style="3"/>
    <col min="4225" max="4225" width="6.4140625" style="2"/>
    <col min="4226" max="4226" width="6.4140625" style="3"/>
    <col min="4227" max="4228" width="6.4140625" style="2"/>
    <col min="4229" max="4229" width="6.4140625" style="1"/>
    <col min="4230" max="4230" width="6.4140625" style="2"/>
    <col min="4231" max="4231" width="6.4140625" style="3"/>
    <col min="4232" max="4232" width="6.4140625" style="2"/>
    <col min="4233" max="4233" width="6.4140625" style="3"/>
    <col min="4234" max="4235" width="6.4140625" style="2"/>
    <col min="4236" max="4236" width="6.4140625" style="1"/>
    <col min="4237" max="4237" width="6.4140625" style="2"/>
    <col min="4238" max="4238" width="6.4140625" style="3"/>
    <col min="4239" max="4239" width="6.4140625" style="2"/>
    <col min="4240" max="4240" width="6.4140625" style="3"/>
    <col min="4241" max="4242" width="6.4140625" style="2"/>
    <col min="4243" max="4243" width="6.4140625" style="1"/>
    <col min="4244" max="4244" width="6.4140625" style="2"/>
    <col min="4245" max="4245" width="6.4140625" style="3"/>
    <col min="4246" max="4246" width="6.4140625" style="2"/>
    <col min="4247" max="4247" width="6.4140625" style="3"/>
    <col min="4248" max="4249" width="6.4140625" style="2"/>
    <col min="4250" max="4250" width="6.4140625" style="1"/>
    <col min="4251" max="4251" width="6.4140625" style="2"/>
    <col min="4252" max="4252" width="6.4140625" style="3"/>
    <col min="4253" max="4253" width="6.4140625" style="2"/>
    <col min="4254" max="4254" width="6.4140625" style="3"/>
    <col min="4255" max="4256" width="6.4140625" style="2"/>
    <col min="4257" max="4257" width="6.4140625" style="1"/>
    <col min="4258" max="4258" width="6.4140625" style="2"/>
    <col min="4259" max="4259" width="6.4140625" style="3"/>
    <col min="4260" max="4260" width="6.4140625" style="2"/>
    <col min="4261" max="4261" width="6.4140625" style="3"/>
    <col min="4262" max="4263" width="6.4140625" style="2"/>
    <col min="4264" max="4264" width="6.4140625" style="1"/>
    <col min="4265" max="4265" width="6.4140625" style="2"/>
    <col min="4266" max="4266" width="6.4140625" style="3"/>
    <col min="4267" max="4267" width="6.4140625" style="2"/>
    <col min="4268" max="4268" width="6.4140625" style="3"/>
    <col min="4269" max="4270" width="6.4140625" style="2"/>
    <col min="4271" max="4271" width="6.4140625" style="1"/>
    <col min="4272" max="4272" width="6.4140625" style="2"/>
    <col min="4273" max="4273" width="6.4140625" style="3"/>
    <col min="4274" max="4274" width="6.4140625" style="2"/>
    <col min="4275" max="4275" width="6.4140625" style="3"/>
    <col min="4276" max="4277" width="6.4140625" style="2"/>
    <col min="4278" max="4278" width="6.4140625" style="1"/>
    <col min="4279" max="4279" width="6.4140625" style="2"/>
    <col min="4280" max="4280" width="6.4140625" style="3"/>
    <col min="4281" max="4281" width="6.4140625" style="2"/>
    <col min="4282" max="4282" width="6.4140625" style="3"/>
    <col min="4283" max="4284" width="6.4140625" style="2"/>
    <col min="4285" max="4285" width="6.4140625" style="1"/>
    <col min="4286" max="4286" width="6.4140625" style="2"/>
    <col min="4287" max="4287" width="6.4140625" style="3"/>
    <col min="4288" max="4288" width="6.4140625" style="2"/>
    <col min="4289" max="4289" width="6.4140625" style="3"/>
    <col min="4290" max="4291" width="6.4140625" style="2"/>
    <col min="4292" max="4292" width="6.4140625" style="1"/>
    <col min="4293" max="4293" width="6.4140625" style="2"/>
    <col min="4294" max="4294" width="6.4140625" style="3"/>
    <col min="4295" max="4295" width="6.4140625" style="2"/>
    <col min="4296" max="4296" width="6.4140625" style="3"/>
    <col min="4297" max="4298" width="6.4140625" style="2"/>
    <col min="4299" max="4299" width="6.4140625" style="1"/>
    <col min="4300" max="4300" width="6.4140625" style="2"/>
    <col min="4301" max="4301" width="6.4140625" style="3"/>
    <col min="4302" max="4302" width="6.4140625" style="2"/>
    <col min="4303" max="4303" width="6.4140625" style="3"/>
    <col min="4304" max="4305" width="6.4140625" style="2"/>
    <col min="4306" max="4306" width="6.4140625" style="1"/>
    <col min="4307" max="4307" width="6.4140625" style="2"/>
    <col min="4308" max="4308" width="6.4140625" style="3"/>
    <col min="4309" max="4309" width="6.4140625" style="2"/>
    <col min="4310" max="4310" width="6.4140625" style="3"/>
    <col min="4311" max="4312" width="6.4140625" style="2"/>
    <col min="4313" max="4313" width="6.4140625" style="1"/>
    <col min="4314" max="4314" width="6.4140625" style="2"/>
    <col min="4315" max="4315" width="6.4140625" style="3"/>
    <col min="4316" max="4316" width="6.4140625" style="2"/>
    <col min="4317" max="4317" width="6.4140625" style="3"/>
    <col min="4318" max="4319" width="6.4140625" style="2"/>
    <col min="4320" max="4320" width="6.4140625" style="1"/>
    <col min="4321" max="4321" width="6.4140625" style="2"/>
    <col min="4322" max="4322" width="6.4140625" style="3"/>
    <col min="4323" max="4323" width="6.4140625" style="2"/>
    <col min="4324" max="4324" width="6.4140625" style="3"/>
    <col min="4325" max="4326" width="6.4140625" style="2"/>
    <col min="4327" max="4327" width="6.4140625" style="1"/>
    <col min="4328" max="4328" width="6.4140625" style="2"/>
    <col min="4329" max="4329" width="6.4140625" style="3"/>
    <col min="4330" max="4330" width="6.4140625" style="2"/>
    <col min="4331" max="4331" width="6.4140625" style="3"/>
    <col min="4332" max="4333" width="6.4140625" style="2"/>
    <col min="4334" max="4334" width="6.4140625" style="1"/>
    <col min="4335" max="4335" width="6.4140625" style="2"/>
    <col min="4336" max="4336" width="6.4140625" style="3"/>
    <col min="4337" max="4337" width="6.4140625" style="2"/>
    <col min="4338" max="4338" width="6.4140625" style="3"/>
    <col min="4339" max="4340" width="6.4140625" style="2"/>
    <col min="4341" max="4341" width="6.4140625" style="1"/>
    <col min="4342" max="4342" width="6.4140625" style="2"/>
    <col min="4343" max="4343" width="6.4140625" style="3"/>
    <col min="4344" max="4344" width="6.4140625" style="2"/>
    <col min="4345" max="4345" width="6.4140625" style="3"/>
    <col min="4346" max="4347" width="6.4140625" style="2"/>
    <col min="4348" max="4348" width="6.4140625" style="1"/>
    <col min="4349" max="4349" width="6.4140625" style="2"/>
    <col min="4350" max="4350" width="6.4140625" style="3"/>
    <col min="4351" max="4351" width="6.4140625" style="2"/>
    <col min="4352" max="4352" width="6.4140625" style="3"/>
    <col min="4353" max="4354" width="6.4140625" style="2"/>
    <col min="4355" max="4355" width="6.4140625" style="1"/>
    <col min="4356" max="4356" width="6.4140625" style="2"/>
    <col min="4357" max="4357" width="6.4140625" style="3"/>
    <col min="4358" max="4358" width="6.4140625" style="2"/>
    <col min="4359" max="4359" width="6.4140625" style="3"/>
    <col min="4360" max="4361" width="6.4140625" style="2"/>
    <col min="4362" max="4362" width="6.4140625" style="1"/>
    <col min="4363" max="4363" width="6.4140625" style="2"/>
    <col min="4364" max="4364" width="6.4140625" style="3"/>
    <col min="4365" max="4365" width="6.4140625" style="2"/>
    <col min="4366" max="4366" width="6.4140625" style="3"/>
    <col min="4367" max="4368" width="6.4140625" style="2"/>
    <col min="4369" max="4369" width="6.4140625" style="1"/>
    <col min="4370" max="4370" width="6.4140625" style="2"/>
    <col min="4371" max="4371" width="6.4140625" style="3"/>
    <col min="4372" max="4372" width="6.4140625" style="2"/>
    <col min="4373" max="4373" width="6.4140625" style="3"/>
    <col min="4374" max="4375" width="6.4140625" style="2"/>
    <col min="4376" max="4376" width="6.4140625" style="1"/>
    <col min="4377" max="4377" width="6.4140625" style="2"/>
    <col min="4378" max="4378" width="6.4140625" style="3"/>
    <col min="4379" max="4379" width="6.4140625" style="2"/>
    <col min="4380" max="4380" width="6.4140625" style="3"/>
    <col min="4381" max="4382" width="6.4140625" style="2"/>
    <col min="4383" max="4383" width="6.4140625" style="1"/>
    <col min="4384" max="4384" width="6.4140625" style="2"/>
    <col min="4385" max="4385" width="6.4140625" style="3"/>
    <col min="4386" max="4386" width="6.4140625" style="2"/>
    <col min="4387" max="4387" width="6.4140625" style="3"/>
    <col min="4388" max="4389" width="6.4140625" style="2"/>
    <col min="4390" max="4390" width="6.4140625" style="1"/>
    <col min="4391" max="4391" width="6.4140625" style="2"/>
    <col min="4392" max="4392" width="6.4140625" style="3"/>
    <col min="4393" max="4393" width="6.4140625" style="2"/>
    <col min="4394" max="4394" width="6.4140625" style="3"/>
    <col min="4395" max="4396" width="6.4140625" style="2"/>
    <col min="4397" max="4397" width="6.4140625" style="1"/>
    <col min="4398" max="4398" width="6.4140625" style="2"/>
    <col min="4399" max="4399" width="6.4140625" style="3"/>
    <col min="4400" max="4400" width="6.4140625" style="2"/>
    <col min="4401" max="4401" width="6.4140625" style="3"/>
    <col min="4402" max="4403" width="6.4140625" style="2"/>
    <col min="4404" max="4404" width="6.4140625" style="1"/>
    <col min="4405" max="4405" width="6.4140625" style="2"/>
    <col min="4406" max="4406" width="6.4140625" style="3"/>
    <col min="4407" max="4407" width="6.4140625" style="2"/>
    <col min="4408" max="4408" width="6.4140625" style="3"/>
    <col min="4409" max="4410" width="6.4140625" style="2"/>
    <col min="4411" max="4411" width="6.4140625" style="1"/>
    <col min="4412" max="4412" width="6.4140625" style="2"/>
    <col min="4413" max="4413" width="6.4140625" style="3"/>
    <col min="4414" max="4414" width="6.4140625" style="2"/>
    <col min="4415" max="4415" width="6.4140625" style="3"/>
    <col min="4416" max="4417" width="6.4140625" style="2"/>
    <col min="4418" max="4418" width="6.4140625" style="1"/>
    <col min="4419" max="4419" width="6.4140625" style="2"/>
    <col min="4420" max="4420" width="6.4140625" style="3"/>
    <col min="4421" max="4421" width="6.4140625" style="2"/>
    <col min="4422" max="4422" width="6.4140625" style="3"/>
    <col min="4423" max="4424" width="6.4140625" style="2"/>
    <col min="4425" max="4425" width="6.4140625" style="1"/>
    <col min="4426" max="4426" width="6.4140625" style="2"/>
    <col min="4427" max="4427" width="6.4140625" style="3"/>
    <col min="4428" max="4428" width="6.4140625" style="2"/>
    <col min="4429" max="4429" width="6.4140625" style="3"/>
    <col min="4430" max="4431" width="6.4140625" style="2"/>
    <col min="4432" max="4432" width="6.4140625" style="1"/>
    <col min="4433" max="4433" width="6.4140625" style="2"/>
    <col min="4434" max="4434" width="6.4140625" style="3"/>
    <col min="4435" max="4435" width="6.4140625" style="2"/>
    <col min="4436" max="4436" width="6.4140625" style="3"/>
    <col min="4437" max="4438" width="6.4140625" style="2"/>
    <col min="4439" max="4439" width="6.4140625" style="1"/>
    <col min="4440" max="4440" width="6.4140625" style="2"/>
    <col min="4441" max="4441" width="6.4140625" style="3"/>
    <col min="4442" max="4442" width="6.4140625" style="2"/>
    <col min="4443" max="4443" width="6.4140625" style="3"/>
    <col min="4444" max="4445" width="6.4140625" style="2"/>
    <col min="4446" max="4446" width="6.4140625" style="1"/>
    <col min="4447" max="4447" width="6.4140625" style="2"/>
    <col min="4448" max="4448" width="6.4140625" style="3"/>
    <col min="4449" max="4449" width="6.4140625" style="2"/>
    <col min="4450" max="4450" width="6.4140625" style="3"/>
    <col min="4451" max="4452" width="6.4140625" style="2"/>
    <col min="4453" max="4453" width="6.4140625" style="1"/>
    <col min="4454" max="4454" width="6.4140625" style="2"/>
    <col min="4455" max="4455" width="6.4140625" style="3"/>
    <col min="4456" max="4456" width="6.4140625" style="2"/>
    <col min="4457" max="4457" width="6.4140625" style="3"/>
    <col min="4458" max="4459" width="6.4140625" style="2"/>
    <col min="4460" max="4460" width="6.4140625" style="1"/>
    <col min="4461" max="4461" width="6.4140625" style="2"/>
    <col min="4462" max="4462" width="6.4140625" style="3"/>
    <col min="4463" max="4463" width="6.4140625" style="2"/>
    <col min="4464" max="4464" width="6.4140625" style="3"/>
    <col min="4465" max="4466" width="6.4140625" style="2"/>
    <col min="4467" max="4467" width="6.4140625" style="1"/>
    <col min="4468" max="4468" width="6.4140625" style="2"/>
    <col min="4469" max="4469" width="6.4140625" style="3"/>
    <col min="4470" max="4470" width="6.4140625" style="2"/>
    <col min="4471" max="4471" width="6.4140625" style="3"/>
    <col min="4472" max="4473" width="6.4140625" style="2"/>
    <col min="4474" max="4474" width="6.4140625" style="1"/>
    <col min="4475" max="4475" width="6.4140625" style="2"/>
    <col min="4476" max="4476" width="6.4140625" style="3"/>
    <col min="4477" max="4477" width="6.4140625" style="2"/>
    <col min="4478" max="4478" width="6.4140625" style="3"/>
    <col min="4479" max="4480" width="6.4140625" style="2"/>
    <col min="4481" max="4481" width="6.4140625" style="1"/>
    <col min="4482" max="4482" width="6.4140625" style="2"/>
    <col min="4483" max="4483" width="6.4140625" style="3"/>
    <col min="4484" max="4484" width="6.4140625" style="2"/>
    <col min="4485" max="4485" width="6.4140625" style="3"/>
    <col min="4486" max="4487" width="6.4140625" style="2"/>
    <col min="4488" max="4488" width="6.4140625" style="1"/>
    <col min="4489" max="4489" width="6.4140625" style="2"/>
    <col min="4490" max="4490" width="6.4140625" style="3"/>
    <col min="4491" max="4491" width="6.4140625" style="2"/>
    <col min="4492" max="4492" width="6.4140625" style="3"/>
    <col min="4493" max="4494" width="6.4140625" style="2"/>
    <col min="4495" max="4495" width="6.4140625" style="1"/>
    <col min="4496" max="4496" width="6.4140625" style="2"/>
    <col min="4497" max="4497" width="6.4140625" style="3"/>
    <col min="4498" max="4498" width="6.4140625" style="2"/>
    <col min="4499" max="4499" width="6.4140625" style="3"/>
    <col min="4500" max="4501" width="6.4140625" style="2"/>
    <col min="4502" max="4502" width="6.4140625" style="1"/>
    <col min="4503" max="4503" width="6.4140625" style="2"/>
    <col min="4504" max="4504" width="6.4140625" style="3"/>
    <col min="4505" max="4505" width="6.4140625" style="2"/>
    <col min="4506" max="4506" width="6.4140625" style="3"/>
    <col min="4507" max="4508" width="6.4140625" style="2"/>
    <col min="4509" max="4509" width="6.4140625" style="1"/>
    <col min="4510" max="4510" width="6.4140625" style="2"/>
    <col min="4511" max="4511" width="6.4140625" style="3"/>
    <col min="4512" max="4512" width="6.4140625" style="2"/>
    <col min="4513" max="4513" width="6.4140625" style="3"/>
    <col min="4514" max="4515" width="6.4140625" style="2"/>
    <col min="4516" max="4516" width="6.4140625" style="1"/>
    <col min="4517" max="4517" width="6.4140625" style="2"/>
    <col min="4518" max="4518" width="6.4140625" style="3"/>
    <col min="4519" max="4519" width="6.4140625" style="2"/>
    <col min="4520" max="4520" width="6.4140625" style="3"/>
    <col min="4521" max="4522" width="6.4140625" style="2"/>
    <col min="4523" max="4523" width="6.4140625" style="1"/>
    <col min="4524" max="4524" width="6.4140625" style="2"/>
    <col min="4525" max="4525" width="6.4140625" style="3"/>
    <col min="4526" max="4526" width="6.4140625" style="2"/>
    <col min="4527" max="4527" width="6.4140625" style="3"/>
    <col min="4528" max="4529" width="6.4140625" style="2"/>
    <col min="4530" max="4530" width="6.4140625" style="1"/>
    <col min="4531" max="4531" width="6.4140625" style="2"/>
    <col min="4532" max="4532" width="6.4140625" style="3"/>
    <col min="4533" max="4533" width="6.4140625" style="2"/>
    <col min="4534" max="4534" width="6.4140625" style="3"/>
    <col min="4535" max="4536" width="6.4140625" style="2"/>
    <col min="4537" max="4537" width="6.4140625" style="1"/>
    <col min="4538" max="4538" width="6.4140625" style="2"/>
    <col min="4539" max="4539" width="6.4140625" style="3"/>
    <col min="4540" max="4540" width="6.4140625" style="2"/>
    <col min="4541" max="4541" width="6.4140625" style="3"/>
    <col min="4542" max="4543" width="6.4140625" style="2"/>
    <col min="4544" max="4544" width="6.4140625" style="1"/>
    <col min="4545" max="4545" width="6.4140625" style="2"/>
    <col min="4546" max="4546" width="6.4140625" style="3"/>
    <col min="4547" max="4547" width="6.4140625" style="2"/>
    <col min="4548" max="4548" width="6.4140625" style="3"/>
    <col min="4549" max="4550" width="6.4140625" style="2"/>
    <col min="4551" max="4551" width="6.4140625" style="1"/>
    <col min="4552" max="4552" width="6.4140625" style="2"/>
    <col min="4553" max="4553" width="6.4140625" style="3"/>
    <col min="4554" max="4554" width="6.4140625" style="2"/>
    <col min="4555" max="4555" width="6.4140625" style="3"/>
    <col min="4556" max="4557" width="6.4140625" style="2"/>
    <col min="4558" max="4558" width="6.4140625" style="1"/>
    <col min="4559" max="4559" width="6.4140625" style="2"/>
    <col min="4560" max="4560" width="6.4140625" style="3"/>
    <col min="4561" max="4561" width="6.4140625" style="2"/>
    <col min="4562" max="4562" width="6.4140625" style="3"/>
    <col min="4563" max="4564" width="6.4140625" style="2"/>
    <col min="4565" max="4565" width="6.4140625" style="1"/>
    <col min="4566" max="4566" width="6.4140625" style="2"/>
    <col min="4567" max="4567" width="6.4140625" style="3"/>
    <col min="4568" max="4568" width="6.4140625" style="2"/>
    <col min="4569" max="4569" width="6.4140625" style="3"/>
    <col min="4570" max="4571" width="6.4140625" style="2"/>
    <col min="4572" max="4572" width="6.4140625" style="1"/>
    <col min="4573" max="4573" width="6.4140625" style="2"/>
    <col min="4574" max="4574" width="6.4140625" style="3"/>
    <col min="4575" max="4575" width="6.4140625" style="2"/>
    <col min="4576" max="4576" width="6.4140625" style="3"/>
    <col min="4577" max="4578" width="6.4140625" style="2"/>
    <col min="4579" max="4579" width="6.4140625" style="1"/>
    <col min="4580" max="4580" width="6.4140625" style="2"/>
    <col min="4581" max="4581" width="6.4140625" style="3"/>
    <col min="4582" max="4582" width="6.4140625" style="2"/>
    <col min="4583" max="4583" width="6.4140625" style="3"/>
    <col min="4584" max="4585" width="6.4140625" style="2"/>
    <col min="4586" max="4586" width="6.4140625" style="1"/>
    <col min="4587" max="4587" width="6.4140625" style="2"/>
    <col min="4588" max="4588" width="6.4140625" style="3"/>
    <col min="4589" max="4589" width="6.4140625" style="2"/>
    <col min="4590" max="4590" width="6.4140625" style="3"/>
    <col min="4591" max="4592" width="6.4140625" style="2"/>
    <col min="4593" max="4593" width="6.4140625" style="1"/>
    <col min="4594" max="4594" width="6.4140625" style="2"/>
    <col min="4595" max="4595" width="6.4140625" style="3"/>
    <col min="4596" max="4596" width="6.4140625" style="2"/>
    <col min="4597" max="4597" width="6.4140625" style="3"/>
    <col min="4598" max="4599" width="6.4140625" style="2"/>
    <col min="4600" max="4600" width="6.4140625" style="1"/>
    <col min="4601" max="4601" width="6.4140625" style="2"/>
    <col min="4602" max="4602" width="6.4140625" style="3"/>
    <col min="4603" max="4603" width="6.4140625" style="2"/>
    <col min="4604" max="4604" width="6.4140625" style="3"/>
    <col min="4605" max="4606" width="6.4140625" style="2"/>
    <col min="4607" max="4607" width="6.4140625" style="1"/>
    <col min="4608" max="4608" width="6.4140625" style="2"/>
    <col min="4609" max="4609" width="6.4140625" style="3"/>
    <col min="4610" max="4610" width="6.4140625" style="2"/>
    <col min="4611" max="4611" width="6.4140625" style="3"/>
    <col min="4612" max="4613" width="6.4140625" style="2"/>
    <col min="4614" max="4614" width="6.4140625" style="1"/>
    <col min="4615" max="4615" width="6.4140625" style="2"/>
    <col min="4616" max="4616" width="6.4140625" style="3"/>
    <col min="4617" max="4617" width="6.4140625" style="2"/>
    <col min="4618" max="4618" width="6.4140625" style="3"/>
    <col min="4619" max="4620" width="6.4140625" style="2"/>
    <col min="4621" max="4621" width="6.4140625" style="1"/>
    <col min="4622" max="4622" width="6.4140625" style="2"/>
    <col min="4623" max="4623" width="6.4140625" style="3"/>
    <col min="4624" max="4624" width="6.4140625" style="2"/>
    <col min="4625" max="4625" width="6.4140625" style="3"/>
    <col min="4626" max="4627" width="6.4140625" style="2"/>
    <col min="4628" max="4628" width="6.4140625" style="1"/>
    <col min="4629" max="4629" width="6.4140625" style="2"/>
    <col min="4630" max="4630" width="6.4140625" style="3"/>
    <col min="4631" max="4631" width="6.4140625" style="2"/>
    <col min="4632" max="4632" width="6.4140625" style="3"/>
    <col min="4633" max="4634" width="6.4140625" style="2"/>
    <col min="4635" max="4635" width="6.4140625" style="1"/>
    <col min="4636" max="4636" width="6.4140625" style="2"/>
    <col min="4637" max="4637" width="6.4140625" style="3"/>
    <col min="4638" max="4638" width="6.4140625" style="2"/>
    <col min="4639" max="4639" width="6.4140625" style="3"/>
    <col min="4640" max="4641" width="6.4140625" style="2"/>
    <col min="4642" max="4642" width="6.4140625" style="1"/>
    <col min="4643" max="4643" width="6.4140625" style="2"/>
    <col min="4644" max="4644" width="6.4140625" style="3"/>
    <col min="4645" max="4645" width="6.4140625" style="2"/>
    <col min="4646" max="4646" width="6.4140625" style="3"/>
    <col min="4647" max="4648" width="6.4140625" style="2"/>
    <col min="4649" max="4649" width="6.4140625" style="1"/>
    <col min="4650" max="4650" width="6.4140625" style="2"/>
    <col min="4651" max="4651" width="6.4140625" style="3"/>
    <col min="4652" max="4652" width="6.4140625" style="2"/>
    <col min="4653" max="4653" width="6.4140625" style="3"/>
    <col min="4654" max="4655" width="6.4140625" style="2"/>
    <col min="4656" max="4656" width="6.4140625" style="1"/>
    <col min="4657" max="4657" width="6.4140625" style="2"/>
    <col min="4658" max="4658" width="6.4140625" style="3"/>
    <col min="4659" max="4659" width="6.4140625" style="2"/>
    <col min="4660" max="4660" width="6.4140625" style="3"/>
    <col min="4661" max="4662" width="6.4140625" style="2"/>
    <col min="4663" max="4663" width="6.4140625" style="1"/>
    <col min="4664" max="4664" width="6.4140625" style="2"/>
    <col min="4665" max="4665" width="6.4140625" style="3"/>
    <col min="4666" max="4666" width="6.4140625" style="2"/>
    <col min="4667" max="4667" width="6.4140625" style="3"/>
    <col min="4668" max="4669" width="6.4140625" style="2"/>
    <col min="4670" max="4670" width="6.4140625" style="1"/>
    <col min="4671" max="4671" width="6.4140625" style="2"/>
    <col min="4672" max="4672" width="6.4140625" style="3"/>
    <col min="4673" max="4673" width="6.4140625" style="2"/>
    <col min="4674" max="4674" width="6.4140625" style="3"/>
    <col min="4675" max="4676" width="6.4140625" style="2"/>
    <col min="4677" max="4677" width="6.4140625" style="1"/>
    <col min="4678" max="4678" width="6.4140625" style="2"/>
    <col min="4679" max="4679" width="6.4140625" style="3"/>
    <col min="4680" max="4680" width="6.4140625" style="2"/>
    <col min="4681" max="4681" width="6.4140625" style="3"/>
    <col min="4682" max="4683" width="6.4140625" style="2"/>
    <col min="4684" max="4684" width="6.4140625" style="1"/>
    <col min="4685" max="4685" width="6.4140625" style="2"/>
    <col min="4686" max="4686" width="6.4140625" style="3"/>
    <col min="4687" max="4687" width="6.4140625" style="2"/>
    <col min="4688" max="4688" width="6.4140625" style="3"/>
    <col min="4689" max="4690" width="6.4140625" style="2"/>
    <col min="4691" max="4691" width="6.4140625" style="1"/>
    <col min="4692" max="4692" width="6.4140625" style="2"/>
    <col min="4693" max="4693" width="6.4140625" style="3"/>
    <col min="4694" max="4694" width="6.4140625" style="2"/>
    <col min="4695" max="4695" width="6.4140625" style="3"/>
    <col min="4696" max="4697" width="6.4140625" style="2"/>
    <col min="4698" max="4698" width="6.4140625" style="1"/>
    <col min="4699" max="4699" width="6.4140625" style="2"/>
    <col min="4700" max="4700" width="6.4140625" style="3"/>
    <col min="4701" max="4701" width="6.4140625" style="2"/>
    <col min="4702" max="4702" width="6.4140625" style="3"/>
    <col min="4703" max="4704" width="6.4140625" style="2"/>
    <col min="4705" max="4705" width="6.4140625" style="1"/>
    <col min="4706" max="4706" width="6.4140625" style="2"/>
    <col min="4707" max="4707" width="6.4140625" style="3"/>
    <col min="4708" max="4708" width="6.4140625" style="2"/>
    <col min="4709" max="4709" width="6.4140625" style="3"/>
    <col min="4710" max="4711" width="6.4140625" style="2"/>
    <col min="4712" max="4712" width="6.4140625" style="1"/>
    <col min="4713" max="4713" width="6.4140625" style="2"/>
    <col min="4714" max="4714" width="6.4140625" style="3"/>
    <col min="4715" max="4715" width="6.4140625" style="2"/>
    <col min="4716" max="4716" width="6.4140625" style="3"/>
    <col min="4717" max="4718" width="6.4140625" style="2"/>
    <col min="4719" max="4719" width="6.4140625" style="1"/>
    <col min="4720" max="4720" width="6.4140625" style="2"/>
    <col min="4721" max="4721" width="6.4140625" style="3"/>
    <col min="4722" max="4722" width="6.4140625" style="2"/>
    <col min="4723" max="4723" width="6.4140625" style="3"/>
    <col min="4724" max="4725" width="6.4140625" style="2"/>
    <col min="4726" max="4726" width="6.4140625" style="1"/>
    <col min="4727" max="4727" width="6.4140625" style="2"/>
    <col min="4728" max="4728" width="6.4140625" style="3"/>
    <col min="4729" max="4729" width="6.4140625" style="2"/>
    <col min="4730" max="4730" width="6.4140625" style="3"/>
    <col min="4731" max="4732" width="6.4140625" style="2"/>
    <col min="4733" max="4733" width="6.4140625" style="1"/>
    <col min="4734" max="4734" width="6.4140625" style="2"/>
    <col min="4735" max="4735" width="6.4140625" style="3"/>
    <col min="4736" max="4736" width="6.4140625" style="2"/>
    <col min="4737" max="4737" width="6.4140625" style="3"/>
    <col min="4738" max="4739" width="6.4140625" style="2"/>
    <col min="4740" max="4740" width="6.4140625" style="1"/>
    <col min="4741" max="4741" width="6.4140625" style="2"/>
    <col min="4742" max="4742" width="6.4140625" style="3"/>
    <col min="4743" max="4743" width="6.4140625" style="2"/>
    <col min="4744" max="4744" width="6.4140625" style="3"/>
    <col min="4745" max="4746" width="6.4140625" style="2"/>
    <col min="4747" max="4747" width="6.4140625" style="1"/>
    <col min="4748" max="4748" width="6.4140625" style="2"/>
    <col min="4749" max="4749" width="6.4140625" style="3"/>
    <col min="4750" max="4750" width="6.4140625" style="2"/>
    <col min="4751" max="4751" width="6.4140625" style="3"/>
    <col min="4752" max="4753" width="6.4140625" style="2"/>
    <col min="4754" max="4754" width="6.4140625" style="1"/>
    <col min="4755" max="4755" width="6.4140625" style="2"/>
    <col min="4756" max="4756" width="6.4140625" style="3"/>
    <col min="4757" max="4757" width="6.4140625" style="2"/>
    <col min="4758" max="4758" width="6.4140625" style="3"/>
    <col min="4759" max="4760" width="6.4140625" style="2"/>
    <col min="4761" max="4761" width="6.4140625" style="1"/>
    <col min="4762" max="4762" width="6.4140625" style="2"/>
    <col min="4763" max="4763" width="6.4140625" style="3"/>
    <col min="4764" max="4764" width="6.4140625" style="2"/>
    <col min="4765" max="4765" width="6.4140625" style="3"/>
    <col min="4766" max="4767" width="6.4140625" style="2"/>
    <col min="4768" max="4768" width="6.4140625" style="1"/>
    <col min="4769" max="4769" width="6.4140625" style="2"/>
    <col min="4770" max="4770" width="6.4140625" style="3"/>
    <col min="4771" max="4771" width="6.4140625" style="2"/>
    <col min="4772" max="4772" width="6.4140625" style="3"/>
    <col min="4773" max="4774" width="6.4140625" style="2"/>
    <col min="4775" max="4775" width="6.4140625" style="1"/>
    <col min="4776" max="4776" width="6.4140625" style="2"/>
    <col min="4777" max="4777" width="6.4140625" style="3"/>
    <col min="4778" max="4778" width="6.4140625" style="2"/>
    <col min="4779" max="4779" width="6.4140625" style="3"/>
    <col min="4780" max="4781" width="6.4140625" style="2"/>
    <col min="4782" max="4782" width="6.4140625" style="1"/>
    <col min="4783" max="4783" width="6.4140625" style="2"/>
    <col min="4784" max="4784" width="6.4140625" style="3"/>
    <col min="4785" max="4785" width="6.4140625" style="2"/>
    <col min="4786" max="4786" width="6.4140625" style="3"/>
    <col min="4787" max="4788" width="6.4140625" style="2"/>
    <col min="4789" max="4789" width="6.4140625" style="1"/>
    <col min="4790" max="4790" width="6.4140625" style="2"/>
    <col min="4791" max="4791" width="6.4140625" style="3"/>
    <col min="4792" max="4792" width="6.4140625" style="2"/>
    <col min="4793" max="4793" width="6.4140625" style="3"/>
    <col min="4794" max="4795" width="6.4140625" style="2"/>
    <col min="4796" max="4796" width="6.4140625" style="1"/>
    <col min="4797" max="4797" width="6.4140625" style="2"/>
    <col min="4798" max="4798" width="6.4140625" style="3"/>
    <col min="4799" max="4799" width="6.4140625" style="2"/>
    <col min="4800" max="4800" width="6.4140625" style="3"/>
    <col min="4801" max="4802" width="6.4140625" style="2"/>
    <col min="4803" max="4803" width="6.4140625" style="1"/>
    <col min="4804" max="4804" width="6.4140625" style="2"/>
    <col min="4805" max="4805" width="6.4140625" style="3"/>
    <col min="4806" max="4806" width="6.4140625" style="2"/>
    <col min="4807" max="4807" width="6.4140625" style="3"/>
    <col min="4808" max="4809" width="6.4140625" style="2"/>
    <col min="4810" max="4810" width="6.4140625" style="1"/>
    <col min="4811" max="4811" width="6.4140625" style="2"/>
    <col min="4812" max="4812" width="6.4140625" style="3"/>
    <col min="4813" max="4813" width="6.4140625" style="2"/>
    <col min="4814" max="4814" width="6.4140625" style="3"/>
    <col min="4815" max="4816" width="6.4140625" style="2"/>
    <col min="4817" max="4817" width="6.4140625" style="1"/>
    <col min="4818" max="4818" width="6.4140625" style="2"/>
    <col min="4819" max="4819" width="6.4140625" style="3"/>
    <col min="4820" max="4820" width="6.4140625" style="2"/>
    <col min="4821" max="4821" width="6.4140625" style="3"/>
    <col min="4822" max="4823" width="6.4140625" style="2"/>
    <col min="4824" max="4824" width="6.4140625" style="1"/>
    <col min="4825" max="4825" width="6.4140625" style="2"/>
    <col min="4826" max="4826" width="6.4140625" style="3"/>
    <col min="4827" max="4827" width="6.4140625" style="2"/>
    <col min="4828" max="4828" width="6.4140625" style="3"/>
    <col min="4829" max="4830" width="6.4140625" style="2"/>
    <col min="4831" max="4831" width="6.4140625" style="1"/>
    <col min="4832" max="4832" width="6.4140625" style="2"/>
    <col min="4833" max="4833" width="6.4140625" style="3"/>
    <col min="4834" max="4834" width="6.4140625" style="2"/>
    <col min="4835" max="4835" width="6.4140625" style="3"/>
    <col min="4836" max="4837" width="6.4140625" style="2"/>
    <col min="4838" max="4838" width="6.4140625" style="1"/>
    <col min="4839" max="4839" width="6.4140625" style="2"/>
    <col min="4840" max="4840" width="6.4140625" style="3"/>
    <col min="4841" max="4841" width="6.4140625" style="2"/>
    <col min="4842" max="4842" width="6.4140625" style="3"/>
    <col min="4843" max="4844" width="6.4140625" style="2"/>
    <col min="4845" max="4845" width="6.4140625" style="1"/>
    <col min="4846" max="4846" width="6.4140625" style="2"/>
    <col min="4847" max="4847" width="6.4140625" style="3"/>
    <col min="4848" max="4848" width="6.4140625" style="2"/>
    <col min="4849" max="4849" width="6.4140625" style="3"/>
    <col min="4850" max="4851" width="6.4140625" style="2"/>
    <col min="4852" max="4852" width="6.4140625" style="1"/>
    <col min="4853" max="4853" width="6.4140625" style="2"/>
    <col min="4854" max="4854" width="6.4140625" style="3"/>
    <col min="4855" max="4855" width="6.4140625" style="2"/>
    <col min="4856" max="4856" width="6.4140625" style="3"/>
    <col min="4857" max="4858" width="6.4140625" style="2"/>
    <col min="4859" max="4859" width="6.4140625" style="1"/>
    <col min="4860" max="4860" width="6.4140625" style="2"/>
    <col min="4861" max="4861" width="6.4140625" style="3"/>
    <col min="4862" max="4862" width="6.4140625" style="2"/>
    <col min="4863" max="4863" width="6.4140625" style="3"/>
    <col min="4864" max="4865" width="6.4140625" style="2"/>
    <col min="4866" max="4866" width="6.4140625" style="1"/>
    <col min="4867" max="4867" width="6.4140625" style="2"/>
    <col min="4868" max="4868" width="6.4140625" style="3"/>
    <col min="4869" max="4869" width="6.4140625" style="2"/>
    <col min="4870" max="4870" width="6.4140625" style="3"/>
    <col min="4871" max="4872" width="6.4140625" style="2"/>
    <col min="4873" max="4873" width="6.4140625" style="1"/>
    <col min="4874" max="4874" width="6.4140625" style="2"/>
    <col min="4875" max="4875" width="6.4140625" style="3"/>
    <col min="4876" max="4876" width="6.4140625" style="2"/>
    <col min="4877" max="4877" width="6.4140625" style="3"/>
    <col min="4878" max="4879" width="6.4140625" style="2"/>
    <col min="4880" max="4880" width="6.4140625" style="1"/>
    <col min="4881" max="4881" width="6.4140625" style="2"/>
    <col min="4882" max="4882" width="6.4140625" style="3"/>
    <col min="4883" max="4883" width="6.4140625" style="2"/>
    <col min="4884" max="4884" width="6.4140625" style="3"/>
    <col min="4885" max="4886" width="6.4140625" style="2"/>
    <col min="4887" max="4887" width="6.4140625" style="1"/>
    <col min="4888" max="4888" width="6.4140625" style="2"/>
    <col min="4889" max="4889" width="6.4140625" style="3"/>
    <col min="4890" max="4890" width="6.4140625" style="2"/>
    <col min="4891" max="4891" width="6.4140625" style="3"/>
    <col min="4892" max="4893" width="6.4140625" style="2"/>
    <col min="4894" max="4894" width="6.4140625" style="1"/>
    <col min="4895" max="4895" width="6.4140625" style="2"/>
    <col min="4896" max="4896" width="6.4140625" style="3"/>
    <col min="4897" max="4897" width="6.4140625" style="2"/>
    <col min="4898" max="4898" width="6.4140625" style="3"/>
    <col min="4899" max="4900" width="6.4140625" style="2"/>
    <col min="4901" max="4901" width="6.4140625" style="1"/>
    <col min="4902" max="4902" width="6.4140625" style="2"/>
    <col min="4903" max="4903" width="6.4140625" style="3"/>
    <col min="4904" max="4904" width="6.4140625" style="2"/>
    <col min="4905" max="4905" width="6.4140625" style="3"/>
    <col min="4906" max="4907" width="6.4140625" style="2"/>
    <col min="4908" max="4908" width="6.4140625" style="1"/>
    <col min="4909" max="4909" width="6.4140625" style="2"/>
    <col min="4910" max="4910" width="6.4140625" style="3"/>
    <col min="4911" max="4911" width="6.4140625" style="2"/>
    <col min="4912" max="4912" width="6.4140625" style="3"/>
    <col min="4913" max="4914" width="6.4140625" style="2"/>
    <col min="4915" max="4915" width="6.4140625" style="1"/>
    <col min="4916" max="4916" width="6.4140625" style="2"/>
    <col min="4917" max="4917" width="6.4140625" style="3"/>
    <col min="4918" max="4918" width="6.4140625" style="2"/>
    <col min="4919" max="4919" width="6.4140625" style="3"/>
    <col min="4920" max="4921" width="6.4140625" style="2"/>
    <col min="4922" max="4922" width="6.4140625" style="1"/>
    <col min="4923" max="4923" width="6.4140625" style="2"/>
    <col min="4924" max="4924" width="6.4140625" style="3"/>
    <col min="4925" max="4925" width="6.4140625" style="2"/>
    <col min="4926" max="4926" width="6.4140625" style="3"/>
    <col min="4927" max="4928" width="6.4140625" style="2"/>
    <col min="4929" max="4929" width="6.4140625" style="1"/>
    <col min="4930" max="4930" width="6.4140625" style="2"/>
    <col min="4931" max="4931" width="6.4140625" style="3"/>
    <col min="4932" max="4932" width="6.4140625" style="2"/>
    <col min="4933" max="4933" width="6.4140625" style="3"/>
    <col min="4934" max="4935" width="6.4140625" style="2"/>
    <col min="4936" max="4936" width="6.4140625" style="1"/>
    <col min="4937" max="4937" width="6.4140625" style="2"/>
    <col min="4938" max="4938" width="6.4140625" style="3"/>
    <col min="4939" max="4939" width="6.4140625" style="2"/>
    <col min="4940" max="4940" width="6.4140625" style="3"/>
    <col min="4941" max="4942" width="6.4140625" style="2"/>
    <col min="4943" max="4943" width="6.4140625" style="1"/>
    <col min="4944" max="4944" width="6.4140625" style="2"/>
    <col min="4945" max="4945" width="6.4140625" style="3"/>
    <col min="4946" max="4946" width="6.4140625" style="2"/>
    <col min="4947" max="4947" width="6.4140625" style="3"/>
    <col min="4948" max="4949" width="6.4140625" style="2"/>
    <col min="4950" max="4950" width="6.4140625" style="1"/>
    <col min="4951" max="4951" width="6.4140625" style="2"/>
    <col min="4952" max="4952" width="6.4140625" style="3"/>
    <col min="4953" max="4953" width="6.4140625" style="2"/>
    <col min="4954" max="4954" width="6.4140625" style="3"/>
    <col min="4955" max="4956" width="6.4140625" style="2"/>
    <col min="4957" max="4957" width="6.4140625" style="1"/>
    <col min="4958" max="4958" width="6.4140625" style="2"/>
    <col min="4959" max="4959" width="6.4140625" style="3"/>
    <col min="4960" max="4960" width="6.4140625" style="2"/>
    <col min="4961" max="4961" width="6.4140625" style="3"/>
    <col min="4962" max="4963" width="6.4140625" style="2"/>
    <col min="4964" max="4964" width="6.4140625" style="1"/>
    <col min="4965" max="4965" width="6.4140625" style="2"/>
    <col min="4966" max="4966" width="6.4140625" style="3"/>
    <col min="4967" max="4967" width="6.4140625" style="2"/>
    <col min="4968" max="4968" width="6.4140625" style="3"/>
    <col min="4969" max="4970" width="6.4140625" style="2"/>
    <col min="4971" max="4971" width="6.4140625" style="1"/>
    <col min="4972" max="4972" width="6.4140625" style="2"/>
    <col min="4973" max="4973" width="6.4140625" style="3"/>
    <col min="4974" max="4974" width="6.4140625" style="2"/>
    <col min="4975" max="4975" width="6.4140625" style="3"/>
    <col min="4976" max="4977" width="6.4140625" style="2"/>
    <col min="4978" max="4978" width="6.4140625" style="1"/>
    <col min="4979" max="4979" width="6.4140625" style="2"/>
    <col min="4980" max="4980" width="6.4140625" style="3"/>
    <col min="4981" max="4981" width="6.4140625" style="2"/>
    <col min="4982" max="4982" width="6.4140625" style="3"/>
    <col min="4983" max="4984" width="6.4140625" style="2"/>
    <col min="4985" max="4985" width="6.4140625" style="1"/>
    <col min="4986" max="4986" width="6.4140625" style="2"/>
    <col min="4987" max="4987" width="6.4140625" style="3"/>
    <col min="4988" max="4988" width="6.4140625" style="2"/>
    <col min="4989" max="4989" width="6.4140625" style="3"/>
    <col min="4990" max="4991" width="6.4140625" style="2"/>
    <col min="4992" max="4992" width="6.4140625" style="1"/>
    <col min="4993" max="4993" width="6.4140625" style="2"/>
    <col min="4994" max="4994" width="6.4140625" style="3"/>
    <col min="4995" max="4995" width="6.4140625" style="2"/>
    <col min="4996" max="4996" width="6.4140625" style="3"/>
    <col min="4997" max="4998" width="6.4140625" style="2"/>
    <col min="4999" max="4999" width="6.4140625" style="1"/>
    <col min="5000" max="5000" width="6.4140625" style="2"/>
    <col min="5001" max="5001" width="6.4140625" style="3"/>
    <col min="5002" max="5002" width="6.4140625" style="2"/>
    <col min="5003" max="5003" width="6.4140625" style="3"/>
    <col min="5004" max="5005" width="6.4140625" style="2"/>
    <col min="5006" max="5006" width="6.4140625" style="1"/>
    <col min="5007" max="5007" width="6.4140625" style="2"/>
    <col min="5008" max="5008" width="6.4140625" style="3"/>
    <col min="5009" max="5009" width="6.4140625" style="2"/>
    <col min="5010" max="5010" width="6.4140625" style="3"/>
    <col min="5011" max="5012" width="6.4140625" style="2"/>
    <col min="5013" max="5013" width="6.4140625" style="1"/>
    <col min="5014" max="5014" width="6.4140625" style="2"/>
    <col min="5015" max="5015" width="6.4140625" style="3"/>
    <col min="5016" max="5016" width="6.4140625" style="2"/>
    <col min="5017" max="5017" width="6.4140625" style="3"/>
    <col min="5018" max="5019" width="6.4140625" style="2"/>
    <col min="5020" max="5020" width="6.4140625" style="1"/>
    <col min="5021" max="5021" width="6.4140625" style="2"/>
    <col min="5022" max="5022" width="6.4140625" style="3"/>
    <col min="5023" max="5023" width="6.4140625" style="2"/>
    <col min="5024" max="5024" width="6.4140625" style="3"/>
    <col min="5025" max="5026" width="6.4140625" style="2"/>
    <col min="5027" max="5027" width="6.4140625" style="1"/>
    <col min="5028" max="5028" width="6.4140625" style="2"/>
    <col min="5029" max="5029" width="6.4140625" style="3"/>
    <col min="5030" max="5030" width="6.4140625" style="2"/>
    <col min="5031" max="5031" width="6.4140625" style="3"/>
    <col min="5032" max="5033" width="6.4140625" style="2"/>
    <col min="5034" max="5034" width="6.4140625" style="1"/>
    <col min="5035" max="5035" width="6.4140625" style="2"/>
    <col min="5036" max="5036" width="6.4140625" style="3"/>
    <col min="5037" max="5037" width="6.4140625" style="2"/>
    <col min="5038" max="5038" width="6.4140625" style="3"/>
    <col min="5039" max="5040" width="6.4140625" style="2"/>
    <col min="5041" max="5041" width="6.4140625" style="1"/>
    <col min="5042" max="5042" width="6.4140625" style="2"/>
    <col min="5043" max="5043" width="6.4140625" style="3"/>
    <col min="5044" max="5044" width="6.4140625" style="2"/>
    <col min="5045" max="5045" width="6.4140625" style="3"/>
    <col min="5046" max="5047" width="6.4140625" style="2"/>
    <col min="5048" max="5048" width="6.4140625" style="1"/>
    <col min="5049" max="5049" width="6.4140625" style="2"/>
    <col min="5050" max="5050" width="6.4140625" style="3"/>
    <col min="5051" max="5051" width="6.4140625" style="2"/>
    <col min="5052" max="5052" width="6.4140625" style="3"/>
    <col min="5053" max="5054" width="6.4140625" style="2"/>
    <col min="5055" max="5055" width="6.4140625" style="1"/>
    <col min="5056" max="5056" width="6.4140625" style="2"/>
    <col min="5057" max="5057" width="6.4140625" style="3"/>
    <col min="5058" max="5058" width="6.4140625" style="2"/>
    <col min="5059" max="5059" width="6.4140625" style="3"/>
    <col min="5060" max="5061" width="6.4140625" style="2"/>
    <col min="5062" max="5062" width="6.4140625" style="1"/>
    <col min="5063" max="5063" width="6.4140625" style="2"/>
    <col min="5064" max="5064" width="6.4140625" style="3"/>
    <col min="5065" max="5065" width="6.4140625" style="2"/>
    <col min="5066" max="5066" width="6.4140625" style="3"/>
    <col min="5067" max="5068" width="6.4140625" style="2"/>
    <col min="5069" max="5069" width="6.4140625" style="1"/>
    <col min="5070" max="5070" width="6.4140625" style="2"/>
    <col min="5071" max="5071" width="6.4140625" style="3"/>
    <col min="5072" max="5072" width="6.4140625" style="2"/>
    <col min="5073" max="5073" width="6.4140625" style="3"/>
    <col min="5074" max="5075" width="6.4140625" style="2"/>
    <col min="5076" max="5076" width="6.4140625" style="1"/>
    <col min="5077" max="5077" width="6.4140625" style="2"/>
    <col min="5078" max="5078" width="6.4140625" style="3"/>
    <col min="5079" max="5079" width="6.4140625" style="2"/>
    <col min="5080" max="5080" width="6.4140625" style="3"/>
    <col min="5081" max="5082" width="6.4140625" style="2"/>
    <col min="5083" max="5083" width="6.4140625" style="1"/>
    <col min="5084" max="5084" width="6.4140625" style="2"/>
    <col min="5085" max="5085" width="6.4140625" style="3"/>
    <col min="5086" max="5086" width="6.4140625" style="2"/>
    <col min="5087" max="5087" width="6.4140625" style="3"/>
    <col min="5088" max="5089" width="6.4140625" style="2"/>
    <col min="5090" max="5090" width="6.4140625" style="1"/>
    <col min="5091" max="5091" width="6.4140625" style="2"/>
    <col min="5092" max="5092" width="6.4140625" style="3"/>
    <col min="5093" max="5093" width="6.4140625" style="2"/>
    <col min="5094" max="5094" width="6.4140625" style="3"/>
    <col min="5095" max="5096" width="6.4140625" style="2"/>
    <col min="5097" max="5097" width="6.4140625" style="1"/>
    <col min="5098" max="5098" width="6.4140625" style="2"/>
    <col min="5099" max="5099" width="6.4140625" style="3"/>
    <col min="5100" max="5100" width="6.4140625" style="2"/>
    <col min="5101" max="5101" width="6.4140625" style="3"/>
    <col min="5102" max="5103" width="6.4140625" style="2"/>
    <col min="5104" max="5104" width="6.4140625" style="1"/>
    <col min="5105" max="5105" width="6.4140625" style="2"/>
    <col min="5106" max="5106" width="6.4140625" style="3"/>
    <col min="5107" max="5107" width="6.4140625" style="2"/>
    <col min="5108" max="5108" width="6.4140625" style="3"/>
    <col min="5109" max="5110" width="6.4140625" style="2"/>
    <col min="5111" max="5111" width="6.4140625" style="1"/>
    <col min="5112" max="5112" width="6.4140625" style="2"/>
    <col min="5113" max="5113" width="6.4140625" style="3"/>
    <col min="5114" max="5114" width="6.4140625" style="2"/>
    <col min="5115" max="5115" width="6.4140625" style="3"/>
    <col min="5116" max="5117" width="6.4140625" style="2"/>
    <col min="5118" max="5118" width="6.4140625" style="1"/>
    <col min="5119" max="5119" width="6.4140625" style="2"/>
    <col min="5120" max="5120" width="6.4140625" style="3"/>
    <col min="5121" max="5121" width="6.4140625" style="2"/>
    <col min="5122" max="5122" width="6.4140625" style="3"/>
    <col min="5123" max="5124" width="6.4140625" style="2"/>
    <col min="5125" max="5125" width="6.4140625" style="1"/>
    <col min="5126" max="5126" width="6.4140625" style="2"/>
    <col min="5127" max="5127" width="6.4140625" style="3"/>
    <col min="5128" max="5128" width="6.4140625" style="2"/>
    <col min="5129" max="5129" width="6.4140625" style="3"/>
    <col min="5130" max="5131" width="6.4140625" style="2"/>
    <col min="5132" max="5132" width="6.4140625" style="1"/>
    <col min="5133" max="5133" width="6.4140625" style="2"/>
    <col min="5134" max="5134" width="6.4140625" style="3"/>
    <col min="5135" max="5135" width="6.4140625" style="2"/>
    <col min="5136" max="5136" width="6.4140625" style="3"/>
    <col min="5137" max="5138" width="6.4140625" style="2"/>
    <col min="5139" max="5139" width="6.4140625" style="1"/>
    <col min="5140" max="5140" width="6.4140625" style="2"/>
    <col min="5141" max="5141" width="6.4140625" style="3"/>
    <col min="5142" max="5142" width="6.4140625" style="2"/>
    <col min="5143" max="5143" width="6.4140625" style="3"/>
    <col min="5144" max="5145" width="6.4140625" style="2"/>
    <col min="5146" max="5146" width="6.4140625" style="1"/>
    <col min="5147" max="5147" width="6.4140625" style="2"/>
    <col min="5148" max="5148" width="6.4140625" style="3"/>
    <col min="5149" max="5149" width="6.4140625" style="2"/>
    <col min="5150" max="5150" width="6.4140625" style="3"/>
    <col min="5151" max="5152" width="6.4140625" style="2"/>
    <col min="5153" max="5153" width="6.4140625" style="1"/>
    <col min="5154" max="5154" width="6.4140625" style="2"/>
    <col min="5155" max="5155" width="6.4140625" style="3"/>
    <col min="5156" max="5156" width="6.4140625" style="2"/>
    <col min="5157" max="5157" width="6.4140625" style="3"/>
    <col min="5158" max="5159" width="6.4140625" style="2"/>
    <col min="5160" max="5160" width="6.4140625" style="1"/>
    <col min="5161" max="5161" width="6.4140625" style="2"/>
    <col min="5162" max="5162" width="6.4140625" style="3"/>
    <col min="5163" max="5163" width="6.4140625" style="2"/>
    <col min="5164" max="5164" width="6.4140625" style="3"/>
    <col min="5165" max="5166" width="6.4140625" style="2"/>
    <col min="5167" max="5167" width="6.4140625" style="1"/>
    <col min="5168" max="5168" width="6.4140625" style="2"/>
    <col min="5169" max="5169" width="6.4140625" style="3"/>
    <col min="5170" max="5170" width="6.4140625" style="2"/>
    <col min="5171" max="5171" width="6.4140625" style="3"/>
    <col min="5172" max="5173" width="6.4140625" style="2"/>
    <col min="5174" max="5174" width="6.4140625" style="1"/>
    <col min="5175" max="5175" width="6.4140625" style="2"/>
    <col min="5176" max="5176" width="6.4140625" style="3"/>
    <col min="5177" max="5177" width="6.4140625" style="2"/>
    <col min="5178" max="5178" width="6.4140625" style="3"/>
    <col min="5179" max="5180" width="6.4140625" style="2"/>
    <col min="5181" max="5181" width="6.4140625" style="1"/>
    <col min="5182" max="5182" width="6.4140625" style="2"/>
    <col min="5183" max="5183" width="6.4140625" style="3"/>
    <col min="5184" max="5184" width="6.4140625" style="2"/>
    <col min="5185" max="5185" width="6.4140625" style="3"/>
    <col min="5186" max="5187" width="6.4140625" style="2"/>
    <col min="5188" max="5188" width="6.4140625" style="1"/>
    <col min="5189" max="5189" width="6.4140625" style="2"/>
    <col min="5190" max="5190" width="6.4140625" style="3"/>
    <col min="5191" max="5191" width="6.4140625" style="2"/>
    <col min="5192" max="5192" width="6.4140625" style="3"/>
    <col min="5193" max="5194" width="6.4140625" style="2"/>
    <col min="5195" max="5195" width="6.4140625" style="1"/>
    <col min="5196" max="5196" width="6.4140625" style="2"/>
    <col min="5197" max="5197" width="6.4140625" style="3"/>
    <col min="5198" max="5198" width="6.4140625" style="2"/>
    <col min="5199" max="5199" width="6.4140625" style="3"/>
    <col min="5200" max="5201" width="6.4140625" style="2"/>
    <col min="5202" max="5202" width="6.4140625" style="1"/>
    <col min="5203" max="5203" width="6.4140625" style="2"/>
    <col min="5204" max="5204" width="6.4140625" style="3"/>
    <col min="5205" max="5205" width="6.4140625" style="2"/>
    <col min="5206" max="5206" width="6.4140625" style="3"/>
    <col min="5207" max="5208" width="6.4140625" style="2"/>
    <col min="5209" max="5209" width="6.4140625" style="1"/>
    <col min="5210" max="5210" width="6.4140625" style="2"/>
    <col min="5211" max="5211" width="6.4140625" style="3"/>
    <col min="5212" max="5212" width="6.4140625" style="2"/>
    <col min="5213" max="5213" width="6.4140625" style="3"/>
    <col min="5214" max="5215" width="6.4140625" style="2"/>
    <col min="5216" max="5216" width="6.4140625" style="1"/>
    <col min="5217" max="5217" width="6.4140625" style="2"/>
    <col min="5218" max="5218" width="6.4140625" style="3"/>
    <col min="5219" max="5219" width="6.4140625" style="2"/>
    <col min="5220" max="5220" width="6.4140625" style="3"/>
    <col min="5221" max="5222" width="6.4140625" style="2"/>
    <col min="5223" max="5223" width="6.4140625" style="1"/>
    <col min="5224" max="5224" width="6.4140625" style="2"/>
    <col min="5225" max="5225" width="6.4140625" style="3"/>
    <col min="5226" max="5226" width="6.4140625" style="2"/>
    <col min="5227" max="5227" width="6.4140625" style="3"/>
    <col min="5228" max="5229" width="6.4140625" style="2"/>
    <col min="5230" max="5230" width="6.4140625" style="1"/>
    <col min="5231" max="5231" width="6.4140625" style="2"/>
    <col min="5232" max="5232" width="6.4140625" style="3"/>
    <col min="5233" max="5233" width="6.4140625" style="2"/>
    <col min="5234" max="5234" width="6.4140625" style="3"/>
    <col min="5235" max="5236" width="6.4140625" style="2"/>
    <col min="5237" max="5237" width="6.4140625" style="1"/>
    <col min="5238" max="5238" width="6.4140625" style="2"/>
    <col min="5239" max="5239" width="6.4140625" style="3"/>
    <col min="5240" max="5240" width="6.4140625" style="2"/>
    <col min="5241" max="5241" width="6.4140625" style="3"/>
    <col min="5242" max="5243" width="6.4140625" style="2"/>
    <col min="5244" max="5244" width="6.4140625" style="1"/>
    <col min="5245" max="5245" width="6.4140625" style="2"/>
    <col min="5246" max="5246" width="6.4140625" style="3"/>
    <col min="5247" max="5247" width="6.4140625" style="2"/>
    <col min="5248" max="5248" width="6.4140625" style="3"/>
    <col min="5249" max="5250" width="6.4140625" style="2"/>
    <col min="5251" max="5251" width="6.4140625" style="1"/>
    <col min="5252" max="5252" width="6.4140625" style="2"/>
    <col min="5253" max="5253" width="6.4140625" style="3"/>
    <col min="5254" max="5254" width="6.4140625" style="2"/>
    <col min="5255" max="5255" width="6.4140625" style="3"/>
    <col min="5256" max="5257" width="6.4140625" style="2"/>
    <col min="5258" max="5258" width="6.4140625" style="1"/>
    <col min="5259" max="5259" width="6.4140625" style="2"/>
    <col min="5260" max="5260" width="6.4140625" style="3"/>
    <col min="5261" max="5261" width="6.4140625" style="2"/>
    <col min="5262" max="5262" width="6.4140625" style="3"/>
    <col min="5263" max="5264" width="6.4140625" style="2"/>
    <col min="5265" max="5265" width="6.4140625" style="1"/>
    <col min="5266" max="5266" width="6.4140625" style="2"/>
    <col min="5267" max="5267" width="6.4140625" style="3"/>
    <col min="5268" max="5268" width="6.4140625" style="2"/>
    <col min="5269" max="5269" width="6.4140625" style="3"/>
    <col min="5270" max="5271" width="6.4140625" style="2"/>
    <col min="5272" max="5272" width="6.4140625" style="1"/>
    <col min="5273" max="5273" width="6.4140625" style="2"/>
    <col min="5274" max="5274" width="6.4140625" style="3"/>
    <col min="5275" max="5275" width="6.4140625" style="2"/>
    <col min="5276" max="5276" width="6.4140625" style="3"/>
    <col min="5277" max="5278" width="6.4140625" style="2"/>
    <col min="5279" max="5279" width="6.4140625" style="1"/>
    <col min="5280" max="5280" width="6.4140625" style="2"/>
    <col min="5281" max="5281" width="6.4140625" style="3"/>
    <col min="5282" max="5282" width="6.4140625" style="2"/>
    <col min="5283" max="5283" width="6.4140625" style="3"/>
    <col min="5284" max="5285" width="6.4140625" style="2"/>
    <col min="5286" max="5286" width="6.4140625" style="1"/>
    <col min="5287" max="5287" width="6.4140625" style="2"/>
    <col min="5288" max="5288" width="6.4140625" style="3"/>
    <col min="5289" max="5289" width="6.4140625" style="2"/>
    <col min="5290" max="5290" width="6.4140625" style="3"/>
    <col min="5291" max="5292" width="6.4140625" style="2"/>
    <col min="5293" max="5293" width="6.4140625" style="1"/>
    <col min="5294" max="5294" width="6.4140625" style="2"/>
    <col min="5295" max="5295" width="6.4140625" style="3"/>
    <col min="5296" max="5296" width="6.4140625" style="2"/>
    <col min="5297" max="5297" width="6.4140625" style="3"/>
    <col min="5298" max="5299" width="6.4140625" style="2"/>
    <col min="5300" max="5300" width="6.4140625" style="1"/>
    <col min="5301" max="5301" width="6.4140625" style="2"/>
    <col min="5302" max="5302" width="6.4140625" style="3"/>
    <col min="5303" max="5303" width="6.4140625" style="2"/>
    <col min="5304" max="5304" width="6.4140625" style="3"/>
    <col min="5305" max="5306" width="6.4140625" style="2"/>
    <col min="5307" max="5307" width="6.4140625" style="1"/>
    <col min="5308" max="5308" width="6.4140625" style="2"/>
    <col min="5309" max="5309" width="6.4140625" style="3"/>
    <col min="5310" max="5310" width="6.4140625" style="2"/>
    <col min="5311" max="5311" width="6.4140625" style="3"/>
    <col min="5312" max="5313" width="6.4140625" style="2"/>
    <col min="5314" max="5314" width="6.4140625" style="1"/>
    <col min="5315" max="5315" width="6.4140625" style="2"/>
    <col min="5316" max="5316" width="6.4140625" style="3"/>
    <col min="5317" max="5317" width="6.4140625" style="2"/>
    <col min="5318" max="5318" width="6.4140625" style="3"/>
    <col min="5319" max="5320" width="6.4140625" style="2"/>
    <col min="5321" max="5321" width="6.4140625" style="1"/>
    <col min="5322" max="5322" width="6.4140625" style="2"/>
    <col min="5323" max="5323" width="6.4140625" style="3"/>
    <col min="5324" max="5324" width="6.4140625" style="2"/>
    <col min="5325" max="5325" width="6.4140625" style="3"/>
    <col min="5326" max="5327" width="6.4140625" style="2"/>
    <col min="5328" max="5328" width="6.4140625" style="1"/>
    <col min="5329" max="5329" width="6.4140625" style="2"/>
    <col min="5330" max="5330" width="6.4140625" style="3"/>
    <col min="5331" max="5331" width="6.4140625" style="2"/>
    <col min="5332" max="5332" width="6.4140625" style="3"/>
    <col min="5333" max="5334" width="6.4140625" style="2"/>
    <col min="5335" max="5335" width="6.4140625" style="1"/>
    <col min="5336" max="5336" width="6.4140625" style="2"/>
    <col min="5337" max="5337" width="6.4140625" style="3"/>
    <col min="5338" max="5338" width="6.4140625" style="2"/>
    <col min="5339" max="5339" width="6.4140625" style="3"/>
    <col min="5340" max="5341" width="6.4140625" style="2"/>
    <col min="5342" max="5342" width="6.4140625" style="1"/>
    <col min="5343" max="5343" width="6.4140625" style="2"/>
    <col min="5344" max="5344" width="6.4140625" style="3"/>
    <col min="5345" max="5345" width="6.4140625" style="2"/>
    <col min="5346" max="5346" width="6.4140625" style="3"/>
    <col min="5347" max="5348" width="6.4140625" style="2"/>
    <col min="5349" max="5349" width="6.4140625" style="1"/>
    <col min="5350" max="5350" width="6.4140625" style="2"/>
    <col min="5351" max="5351" width="6.4140625" style="3"/>
    <col min="5352" max="5352" width="6.4140625" style="2"/>
    <col min="5353" max="5353" width="6.4140625" style="3"/>
    <col min="5354" max="5355" width="6.4140625" style="2"/>
    <col min="5356" max="5356" width="6.4140625" style="1"/>
    <col min="5357" max="5357" width="6.4140625" style="2"/>
    <col min="5358" max="5358" width="6.4140625" style="3"/>
    <col min="5359" max="5359" width="6.4140625" style="2"/>
    <col min="5360" max="5360" width="6.4140625" style="3"/>
    <col min="5361" max="5362" width="6.4140625" style="2"/>
    <col min="5363" max="5363" width="6.4140625" style="1"/>
    <col min="5364" max="5364" width="6.4140625" style="2"/>
    <col min="5365" max="5365" width="6.4140625" style="3"/>
    <col min="5366" max="5366" width="6.4140625" style="2"/>
    <col min="5367" max="5367" width="6.4140625" style="3"/>
    <col min="5368" max="5369" width="6.4140625" style="2"/>
    <col min="5370" max="5370" width="6.4140625" style="1"/>
    <col min="5371" max="5371" width="6.4140625" style="2"/>
    <col min="5372" max="5372" width="6.4140625" style="3"/>
    <col min="5373" max="5373" width="6.4140625" style="2"/>
    <col min="5374" max="5374" width="6.4140625" style="3"/>
    <col min="5375" max="5376" width="6.4140625" style="2"/>
    <col min="5377" max="5377" width="6.4140625" style="1"/>
    <col min="5378" max="5378" width="6.4140625" style="2"/>
    <col min="5379" max="5379" width="6.4140625" style="3"/>
    <col min="5380" max="5380" width="6.4140625" style="2"/>
    <col min="5381" max="5381" width="6.4140625" style="3"/>
    <col min="5382" max="5383" width="6.4140625" style="2"/>
    <col min="5384" max="5384" width="6.4140625" style="1"/>
    <col min="5385" max="5385" width="6.4140625" style="2"/>
    <col min="5386" max="5386" width="6.4140625" style="3"/>
    <col min="5387" max="5387" width="6.4140625" style="2"/>
    <col min="5388" max="5388" width="6.4140625" style="3"/>
    <col min="5389" max="5390" width="6.4140625" style="2"/>
    <col min="5391" max="5391" width="6.4140625" style="1"/>
    <col min="5392" max="5392" width="6.4140625" style="2"/>
    <col min="5393" max="5393" width="6.4140625" style="3"/>
    <col min="5394" max="5394" width="6.4140625" style="2"/>
    <col min="5395" max="5395" width="6.4140625" style="3"/>
    <col min="5396" max="5397" width="6.4140625" style="2"/>
    <col min="5398" max="5398" width="6.4140625" style="1"/>
    <col min="5399" max="5399" width="6.4140625" style="2"/>
    <col min="5400" max="5400" width="6.4140625" style="3"/>
    <col min="5401" max="5401" width="6.4140625" style="2"/>
    <col min="5402" max="5402" width="6.4140625" style="3"/>
    <col min="5403" max="5404" width="6.4140625" style="2"/>
    <col min="5405" max="5405" width="6.4140625" style="1"/>
    <col min="5406" max="5406" width="6.4140625" style="2"/>
    <col min="5407" max="5407" width="6.4140625" style="3"/>
    <col min="5408" max="5408" width="6.4140625" style="2"/>
    <col min="5409" max="5409" width="6.4140625" style="3"/>
    <col min="5410" max="5411" width="6.4140625" style="2"/>
    <col min="5412" max="5412" width="6.4140625" style="1"/>
    <col min="5413" max="5413" width="6.4140625" style="2"/>
    <col min="5414" max="5414" width="6.4140625" style="3"/>
    <col min="5415" max="5415" width="6.4140625" style="2"/>
    <col min="5416" max="5416" width="6.4140625" style="3"/>
    <col min="5417" max="5418" width="6.4140625" style="2"/>
    <col min="5419" max="5419" width="6.4140625" style="1"/>
    <col min="5420" max="5420" width="6.4140625" style="2"/>
    <col min="5421" max="5421" width="6.4140625" style="3"/>
    <col min="5422" max="5422" width="6.4140625" style="2"/>
    <col min="5423" max="5423" width="6.4140625" style="3"/>
    <col min="5424" max="5425" width="6.4140625" style="2"/>
    <col min="5426" max="5426" width="6.4140625" style="1"/>
    <col min="5427" max="5427" width="6.4140625" style="2"/>
    <col min="5428" max="5428" width="6.4140625" style="3"/>
    <col min="5429" max="5429" width="6.4140625" style="2"/>
    <col min="5430" max="5430" width="6.4140625" style="3"/>
    <col min="5431" max="5432" width="6.4140625" style="2"/>
    <col min="5433" max="5433" width="6.4140625" style="1"/>
    <col min="5434" max="5434" width="6.4140625" style="2"/>
    <col min="5435" max="5435" width="6.4140625" style="3"/>
    <col min="5436" max="5436" width="6.4140625" style="2"/>
    <col min="5437" max="5437" width="6.4140625" style="3"/>
    <col min="5438" max="5439" width="6.4140625" style="2"/>
    <col min="5440" max="5440" width="6.4140625" style="1"/>
    <col min="5441" max="5441" width="6.4140625" style="2"/>
    <col min="5442" max="5442" width="6.4140625" style="3"/>
    <col min="5443" max="5443" width="6.4140625" style="2"/>
    <col min="5444" max="5444" width="6.4140625" style="3"/>
    <col min="5445" max="5446" width="6.4140625" style="2"/>
    <col min="5447" max="5447" width="6.4140625" style="1"/>
    <col min="5448" max="5448" width="6.4140625" style="2"/>
    <col min="5449" max="5449" width="6.4140625" style="3"/>
    <col min="5450" max="5450" width="6.4140625" style="2"/>
    <col min="5451" max="5451" width="6.4140625" style="3"/>
    <col min="5452" max="5453" width="6.4140625" style="2"/>
    <col min="5454" max="5454" width="6.4140625" style="1"/>
    <col min="5455" max="5455" width="6.4140625" style="2"/>
    <col min="5456" max="5456" width="6.4140625" style="3"/>
    <col min="5457" max="5457" width="6.4140625" style="2"/>
    <col min="5458" max="5458" width="6.4140625" style="3"/>
    <col min="5459" max="5460" width="6.4140625" style="2"/>
    <col min="5461" max="5461" width="6.4140625" style="1"/>
    <col min="5462" max="5462" width="6.4140625" style="2"/>
    <col min="5463" max="5463" width="6.4140625" style="3"/>
    <col min="5464" max="5464" width="6.4140625" style="2"/>
    <col min="5465" max="5465" width="6.4140625" style="3"/>
    <col min="5466" max="5467" width="6.4140625" style="2"/>
    <col min="5468" max="5468" width="6.4140625" style="1"/>
    <col min="5469" max="5469" width="6.4140625" style="2"/>
    <col min="5470" max="5470" width="6.4140625" style="3"/>
    <col min="5471" max="5471" width="6.4140625" style="2"/>
    <col min="5472" max="5472" width="6.4140625" style="3"/>
    <col min="5473" max="5474" width="6.4140625" style="2"/>
    <col min="5475" max="5475" width="6.4140625" style="1"/>
    <col min="5476" max="5476" width="6.4140625" style="2"/>
    <col min="5477" max="5477" width="6.4140625" style="3"/>
    <col min="5478" max="5478" width="6.4140625" style="2"/>
    <col min="5479" max="5479" width="6.4140625" style="3"/>
    <col min="5480" max="5481" width="6.4140625" style="2"/>
    <col min="5482" max="5482" width="6.4140625" style="1"/>
    <col min="5483" max="5483" width="6.4140625" style="2"/>
    <col min="5484" max="5484" width="6.4140625" style="3"/>
    <col min="5485" max="5485" width="6.4140625" style="2"/>
    <col min="5486" max="5486" width="6.4140625" style="3"/>
    <col min="5487" max="5488" width="6.4140625" style="2"/>
    <col min="5489" max="5489" width="6.4140625" style="1"/>
    <col min="5490" max="5490" width="6.4140625" style="2"/>
    <col min="5491" max="5491" width="6.4140625" style="3"/>
    <col min="5492" max="5492" width="6.4140625" style="2"/>
    <col min="5493" max="5493" width="6.4140625" style="3"/>
    <col min="5494" max="5495" width="6.4140625" style="2"/>
    <col min="5496" max="5496" width="6.4140625" style="1"/>
    <col min="5497" max="5497" width="6.4140625" style="2"/>
    <col min="5498" max="5498" width="6.4140625" style="3"/>
    <col min="5499" max="5499" width="6.4140625" style="2"/>
    <col min="5500" max="5500" width="6.4140625" style="3"/>
    <col min="5501" max="5502" width="6.4140625" style="2"/>
    <col min="5503" max="5503" width="6.4140625" style="1"/>
    <col min="5504" max="5504" width="6.4140625" style="2"/>
    <col min="5505" max="5505" width="6.4140625" style="3"/>
    <col min="5506" max="5506" width="6.4140625" style="2"/>
    <col min="5507" max="5507" width="6.4140625" style="3"/>
    <col min="5508" max="5509" width="6.4140625" style="2"/>
    <col min="5510" max="5510" width="6.4140625" style="1"/>
    <col min="5511" max="5511" width="6.4140625" style="2"/>
    <col min="5512" max="5512" width="6.4140625" style="3"/>
    <col min="5513" max="5513" width="6.4140625" style="2"/>
    <col min="5514" max="5514" width="6.4140625" style="3"/>
    <col min="5515" max="5516" width="6.4140625" style="2"/>
    <col min="5517" max="5517" width="6.4140625" style="1"/>
    <col min="5518" max="5518" width="6.4140625" style="2"/>
    <col min="5519" max="5519" width="6.4140625" style="3"/>
    <col min="5520" max="5520" width="6.4140625" style="2"/>
    <col min="5521" max="5521" width="6.4140625" style="3"/>
    <col min="5522" max="5523" width="6.4140625" style="2"/>
    <col min="5524" max="5524" width="6.4140625" style="1"/>
    <col min="5525" max="5525" width="6.4140625" style="2"/>
    <col min="5526" max="5526" width="6.4140625" style="3"/>
    <col min="5527" max="5527" width="6.4140625" style="2"/>
    <col min="5528" max="5528" width="6.4140625" style="3"/>
    <col min="5529" max="5530" width="6.4140625" style="2"/>
    <col min="5531" max="5531" width="6.4140625" style="1"/>
    <col min="5532" max="5532" width="6.4140625" style="2"/>
    <col min="5533" max="5533" width="6.4140625" style="3"/>
    <col min="5534" max="5534" width="6.4140625" style="2"/>
    <col min="5535" max="5535" width="6.4140625" style="3"/>
    <col min="5536" max="5537" width="6.4140625" style="2"/>
    <col min="5538" max="5538" width="6.4140625" style="1"/>
    <col min="5539" max="5539" width="6.4140625" style="2"/>
    <col min="5540" max="5540" width="6.4140625" style="3"/>
    <col min="5541" max="5541" width="6.4140625" style="2"/>
    <col min="5542" max="5542" width="6.4140625" style="3"/>
    <col min="5543" max="5544" width="6.4140625" style="2"/>
    <col min="5545" max="5545" width="6.4140625" style="1"/>
    <col min="5546" max="5546" width="6.4140625" style="2"/>
    <col min="5547" max="5547" width="6.4140625" style="3"/>
    <col min="5548" max="5548" width="6.4140625" style="2"/>
    <col min="5549" max="5549" width="6.4140625" style="3"/>
    <col min="5550" max="5551" width="6.4140625" style="2"/>
    <col min="5552" max="5552" width="6.4140625" style="1"/>
    <col min="5553" max="5553" width="6.4140625" style="2"/>
    <col min="5554" max="5554" width="6.4140625" style="3"/>
    <col min="5555" max="5555" width="6.4140625" style="2"/>
    <col min="5556" max="5556" width="6.4140625" style="3"/>
    <col min="5557" max="5558" width="6.4140625" style="2"/>
    <col min="5559" max="5559" width="6.4140625" style="1"/>
    <col min="5560" max="5560" width="6.4140625" style="2"/>
    <col min="5561" max="5561" width="6.4140625" style="3"/>
    <col min="5562" max="5562" width="6.4140625" style="2"/>
    <col min="5563" max="5563" width="6.4140625" style="3"/>
    <col min="5564" max="5565" width="6.4140625" style="2"/>
    <col min="5566" max="5566" width="6.4140625" style="1"/>
    <col min="5567" max="5567" width="6.4140625" style="2"/>
    <col min="5568" max="5568" width="6.4140625" style="3"/>
    <col min="5569" max="5569" width="6.4140625" style="2"/>
    <col min="5570" max="5570" width="6.4140625" style="3"/>
    <col min="5571" max="5572" width="6.4140625" style="2"/>
    <col min="5573" max="5573" width="6.4140625" style="1"/>
    <col min="5574" max="5574" width="6.4140625" style="2"/>
    <col min="5575" max="5575" width="6.4140625" style="3"/>
    <col min="5576" max="5576" width="6.4140625" style="2"/>
    <col min="5577" max="5577" width="6.4140625" style="3"/>
    <col min="5578" max="5579" width="6.4140625" style="2"/>
    <col min="5580" max="5580" width="6.4140625" style="1"/>
    <col min="5581" max="5581" width="6.4140625" style="2"/>
    <col min="5582" max="5582" width="6.4140625" style="3"/>
    <col min="5583" max="5583" width="6.4140625" style="2"/>
    <col min="5584" max="5584" width="6.4140625" style="3"/>
    <col min="5585" max="5586" width="6.4140625" style="2"/>
    <col min="5587" max="5587" width="6.4140625" style="1"/>
    <col min="5588" max="5588" width="6.4140625" style="2"/>
    <col min="5589" max="5589" width="6.4140625" style="3"/>
    <col min="5590" max="5590" width="6.4140625" style="2"/>
    <col min="5591" max="5591" width="6.4140625" style="3"/>
    <col min="5592" max="5593" width="6.4140625" style="2"/>
    <col min="5594" max="5594" width="6.4140625" style="1"/>
    <col min="5595" max="5595" width="6.4140625" style="2"/>
    <col min="5596" max="5596" width="6.4140625" style="3"/>
    <col min="5597" max="5597" width="6.4140625" style="2"/>
    <col min="5598" max="5598" width="6.4140625" style="3"/>
    <col min="5599" max="5600" width="6.4140625" style="2"/>
    <col min="5601" max="5601" width="6.4140625" style="1"/>
    <col min="5602" max="5602" width="6.4140625" style="2"/>
    <col min="5603" max="5603" width="6.4140625" style="3"/>
    <col min="5604" max="5604" width="6.4140625" style="2"/>
    <col min="5605" max="5605" width="6.4140625" style="3"/>
    <col min="5606" max="5607" width="6.4140625" style="2"/>
    <col min="5608" max="5608" width="6.4140625" style="1"/>
    <col min="5609" max="5609" width="6.4140625" style="2"/>
    <col min="5610" max="5610" width="6.4140625" style="3"/>
    <col min="5611" max="5611" width="6.4140625" style="2"/>
    <col min="5612" max="5612" width="6.4140625" style="3"/>
    <col min="5613" max="5614" width="6.4140625" style="2"/>
    <col min="5615" max="5615" width="6.4140625" style="1"/>
    <col min="5616" max="5616" width="6.4140625" style="2"/>
    <col min="5617" max="5617" width="6.4140625" style="3"/>
    <col min="5618" max="5618" width="6.4140625" style="2"/>
    <col min="5619" max="5619" width="6.4140625" style="3"/>
    <col min="5620" max="5621" width="6.4140625" style="2"/>
    <col min="5622" max="5622" width="6.4140625" style="1"/>
    <col min="5623" max="5623" width="6.4140625" style="2"/>
    <col min="5624" max="5624" width="6.4140625" style="3"/>
    <col min="5625" max="5625" width="6.4140625" style="2"/>
    <col min="5626" max="5626" width="6.4140625" style="3"/>
    <col min="5627" max="5628" width="6.4140625" style="2"/>
    <col min="5629" max="5629" width="6.4140625" style="1"/>
    <col min="5630" max="5630" width="6.4140625" style="2"/>
    <col min="5631" max="5631" width="6.4140625" style="3"/>
    <col min="5632" max="5632" width="6.4140625" style="2"/>
    <col min="5633" max="5633" width="6.4140625" style="3"/>
    <col min="5634" max="5635" width="6.4140625" style="2"/>
    <col min="5636" max="5636" width="6.4140625" style="1"/>
    <col min="5637" max="5637" width="6.4140625" style="2"/>
    <col min="5638" max="5638" width="6.4140625" style="3"/>
    <col min="5639" max="5639" width="6.4140625" style="2"/>
    <col min="5640" max="5640" width="6.4140625" style="3"/>
    <col min="5641" max="5642" width="6.4140625" style="2"/>
    <col min="5643" max="5643" width="6.4140625" style="1"/>
    <col min="5644" max="5644" width="6.4140625" style="2"/>
    <col min="5645" max="5645" width="6.4140625" style="3"/>
    <col min="5646" max="5646" width="6.4140625" style="2"/>
    <col min="5647" max="5647" width="6.4140625" style="3"/>
    <col min="5648" max="5649" width="6.4140625" style="2"/>
    <col min="5650" max="5650" width="6.4140625" style="1"/>
    <col min="5651" max="5651" width="6.4140625" style="2"/>
    <col min="5652" max="5652" width="6.4140625" style="3"/>
    <col min="5653" max="5653" width="6.4140625" style="2"/>
    <col min="5654" max="5654" width="6.4140625" style="3"/>
    <col min="5655" max="5656" width="6.4140625" style="2"/>
    <col min="5657" max="5657" width="6.4140625" style="1"/>
    <col min="5658" max="5658" width="6.4140625" style="2"/>
    <col min="5659" max="5659" width="6.4140625" style="3"/>
    <col min="5660" max="5660" width="6.4140625" style="2"/>
    <col min="5661" max="5661" width="6.4140625" style="3"/>
    <col min="5662" max="5663" width="6.4140625" style="2"/>
    <col min="5664" max="5664" width="6.4140625" style="1"/>
    <col min="5665" max="5665" width="6.4140625" style="2"/>
    <col min="5666" max="5666" width="6.4140625" style="3"/>
    <col min="5667" max="5667" width="6.4140625" style="2"/>
    <col min="5668" max="5668" width="6.4140625" style="3"/>
    <col min="5669" max="5670" width="6.4140625" style="2"/>
    <col min="5671" max="5671" width="6.4140625" style="1"/>
    <col min="5672" max="5672" width="6.4140625" style="2"/>
    <col min="5673" max="5673" width="6.4140625" style="3"/>
    <col min="5674" max="5674" width="6.4140625" style="2"/>
    <col min="5675" max="5675" width="6.4140625" style="3"/>
    <col min="5676" max="5677" width="6.4140625" style="2"/>
    <col min="5678" max="5678" width="6.4140625" style="1"/>
    <col min="5679" max="5679" width="6.4140625" style="2"/>
    <col min="5680" max="5680" width="6.4140625" style="3"/>
    <col min="5681" max="5681" width="6.4140625" style="2"/>
    <col min="5682" max="5682" width="6.4140625" style="3"/>
    <col min="5683" max="5684" width="6.4140625" style="2"/>
    <col min="5685" max="5685" width="6.4140625" style="1"/>
    <col min="5686" max="5686" width="6.4140625" style="2"/>
    <col min="5687" max="5687" width="6.4140625" style="3"/>
    <col min="5688" max="5688" width="6.4140625" style="2"/>
    <col min="5689" max="5689" width="6.4140625" style="3"/>
    <col min="5690" max="5691" width="6.4140625" style="2"/>
    <col min="5692" max="5692" width="6.4140625" style="1"/>
    <col min="5693" max="5693" width="6.4140625" style="2"/>
    <col min="5694" max="5694" width="6.4140625" style="3"/>
    <col min="5695" max="5695" width="6.4140625" style="2"/>
    <col min="5696" max="5696" width="6.4140625" style="3"/>
    <col min="5697" max="5698" width="6.4140625" style="2"/>
    <col min="5699" max="5699" width="6.4140625" style="1"/>
    <col min="5700" max="5700" width="6.4140625" style="2"/>
    <col min="5701" max="5701" width="6.4140625" style="3"/>
    <col min="5702" max="5702" width="6.4140625" style="2"/>
    <col min="5703" max="5703" width="6.4140625" style="3"/>
    <col min="5704" max="5705" width="6.4140625" style="2"/>
    <col min="5706" max="5706" width="6.4140625" style="1"/>
    <col min="5707" max="5707" width="6.4140625" style="2"/>
    <col min="5708" max="5708" width="6.4140625" style="3"/>
    <col min="5709" max="5709" width="6.4140625" style="2"/>
    <col min="5710" max="5710" width="6.4140625" style="3"/>
    <col min="5711" max="5712" width="6.4140625" style="2"/>
    <col min="5713" max="5713" width="6.4140625" style="1"/>
    <col min="5714" max="5714" width="6.4140625" style="2"/>
    <col min="5715" max="5715" width="6.4140625" style="3"/>
    <col min="5716" max="5716" width="6.4140625" style="2"/>
    <col min="5717" max="5717" width="6.4140625" style="3"/>
    <col min="5718" max="5719" width="6.4140625" style="2"/>
    <col min="5720" max="5720" width="6.4140625" style="1"/>
    <col min="5721" max="5721" width="6.4140625" style="2"/>
    <col min="5722" max="5722" width="6.4140625" style="3"/>
    <col min="5723" max="5723" width="6.4140625" style="2"/>
    <col min="5724" max="5724" width="6.4140625" style="3"/>
    <col min="5725" max="5726" width="6.4140625" style="2"/>
    <col min="5727" max="5727" width="6.4140625" style="1"/>
    <col min="5728" max="5728" width="6.4140625" style="2"/>
    <col min="5729" max="5729" width="6.4140625" style="3"/>
    <col min="5730" max="5730" width="6.4140625" style="2"/>
    <col min="5731" max="5731" width="6.4140625" style="3"/>
    <col min="5732" max="5733" width="6.4140625" style="2"/>
    <col min="5734" max="5734" width="6.4140625" style="1"/>
    <col min="5735" max="5735" width="6.4140625" style="2"/>
    <col min="5736" max="5736" width="6.4140625" style="3"/>
    <col min="5737" max="5737" width="6.4140625" style="2"/>
    <col min="5738" max="5738" width="6.4140625" style="3"/>
    <col min="5739" max="5740" width="6.4140625" style="2"/>
    <col min="5741" max="5741" width="6.4140625" style="1"/>
    <col min="5742" max="5742" width="6.4140625" style="2"/>
    <col min="5743" max="5743" width="6.4140625" style="3"/>
    <col min="5744" max="5744" width="6.4140625" style="2"/>
    <col min="5745" max="5745" width="6.4140625" style="3"/>
    <col min="5746" max="5747" width="6.4140625" style="2"/>
    <col min="5748" max="5748" width="6.4140625" style="1"/>
    <col min="5749" max="5749" width="6.4140625" style="2"/>
    <col min="5750" max="5750" width="6.4140625" style="3"/>
    <col min="5751" max="5751" width="6.4140625" style="2"/>
    <col min="5752" max="5752" width="6.4140625" style="3"/>
    <col min="5753" max="5754" width="6.4140625" style="2"/>
    <col min="5755" max="5755" width="6.4140625" style="1"/>
    <col min="5756" max="5756" width="6.4140625" style="2"/>
    <col min="5757" max="5757" width="6.4140625" style="3"/>
    <col min="5758" max="5758" width="6.4140625" style="2"/>
    <col min="5759" max="5759" width="6.4140625" style="3"/>
    <col min="5760" max="5761" width="6.4140625" style="2"/>
    <col min="5762" max="5762" width="6.4140625" style="1"/>
    <col min="5763" max="5763" width="6.4140625" style="2"/>
    <col min="5764" max="5764" width="6.4140625" style="3"/>
    <col min="5765" max="5765" width="6.4140625" style="2"/>
    <col min="5766" max="5766" width="6.4140625" style="3"/>
    <col min="5767" max="5768" width="6.4140625" style="2"/>
    <col min="5769" max="5769" width="6.4140625" style="1"/>
    <col min="5770" max="5770" width="6.4140625" style="2"/>
    <col min="5771" max="5771" width="6.4140625" style="3"/>
    <col min="5772" max="5772" width="6.4140625" style="2"/>
    <col min="5773" max="5773" width="6.4140625" style="3"/>
    <col min="5774" max="5775" width="6.4140625" style="2"/>
    <col min="5776" max="5776" width="6.4140625" style="1"/>
    <col min="5777" max="5777" width="6.4140625" style="2"/>
    <col min="5778" max="5778" width="6.4140625" style="3"/>
    <col min="5779" max="5779" width="6.4140625" style="2"/>
    <col min="5780" max="5780" width="6.4140625" style="3"/>
    <col min="5781" max="5782" width="6.4140625" style="2"/>
    <col min="5783" max="5783" width="6.4140625" style="1"/>
    <col min="5784" max="5784" width="6.4140625" style="2"/>
    <col min="5785" max="5785" width="6.4140625" style="3"/>
    <col min="5786" max="5786" width="6.4140625" style="2"/>
    <col min="5787" max="5787" width="6.4140625" style="3"/>
    <col min="5788" max="5789" width="6.4140625" style="2"/>
    <col min="5790" max="5790" width="6.4140625" style="1"/>
    <col min="5791" max="5791" width="6.4140625" style="2"/>
    <col min="5792" max="5792" width="6.4140625" style="3"/>
    <col min="5793" max="5793" width="6.4140625" style="2"/>
    <col min="5794" max="5794" width="6.4140625" style="3"/>
    <col min="5795" max="5796" width="6.4140625" style="2"/>
    <col min="5797" max="5797" width="6.4140625" style="1"/>
    <col min="5798" max="5798" width="6.4140625" style="2"/>
    <col min="5799" max="5799" width="6.4140625" style="3"/>
    <col min="5800" max="5800" width="6.4140625" style="2"/>
    <col min="5801" max="5801" width="6.4140625" style="3"/>
    <col min="5802" max="5803" width="6.4140625" style="2"/>
    <col min="5804" max="5804" width="6.4140625" style="1"/>
    <col min="5805" max="5805" width="6.4140625" style="2"/>
    <col min="5806" max="5806" width="6.4140625" style="3"/>
    <col min="5807" max="5807" width="6.4140625" style="2"/>
    <col min="5808" max="5808" width="6.4140625" style="3"/>
    <col min="5809" max="5810" width="6.4140625" style="2"/>
    <col min="5811" max="5811" width="6.4140625" style="1"/>
    <col min="5812" max="5812" width="6.4140625" style="2"/>
    <col min="5813" max="5813" width="6.4140625" style="3"/>
    <col min="5814" max="5814" width="6.4140625" style="2"/>
    <col min="5815" max="5815" width="6.4140625" style="3"/>
    <col min="5816" max="5817" width="6.4140625" style="2"/>
    <col min="5818" max="5818" width="6.4140625" style="1"/>
    <col min="5819" max="5819" width="6.4140625" style="2"/>
    <col min="5820" max="5820" width="6.4140625" style="3"/>
    <col min="5821" max="5821" width="6.4140625" style="2"/>
    <col min="5822" max="5822" width="6.4140625" style="3"/>
    <col min="5823" max="5824" width="6.4140625" style="2"/>
    <col min="5825" max="5825" width="6.4140625" style="1"/>
    <col min="5826" max="5826" width="6.4140625" style="2"/>
    <col min="5827" max="5827" width="6.4140625" style="3"/>
    <col min="5828" max="5828" width="6.4140625" style="2"/>
    <col min="5829" max="5829" width="6.4140625" style="3"/>
    <col min="5830" max="5831" width="6.4140625" style="2"/>
    <col min="5832" max="5832" width="6.4140625" style="1"/>
    <col min="5833" max="5833" width="6.4140625" style="2"/>
    <col min="5834" max="5834" width="6.4140625" style="3"/>
    <col min="5835" max="5835" width="6.4140625" style="2"/>
    <col min="5836" max="5836" width="6.4140625" style="3"/>
    <col min="5837" max="5838" width="6.4140625" style="2"/>
    <col min="5839" max="5839" width="6.4140625" style="1"/>
    <col min="5840" max="5840" width="6.4140625" style="2"/>
    <col min="5841" max="5841" width="6.4140625" style="3"/>
    <col min="5842" max="5842" width="6.4140625" style="2"/>
    <col min="5843" max="5843" width="6.4140625" style="3"/>
    <col min="5844" max="5845" width="6.4140625" style="2"/>
    <col min="5846" max="5846" width="6.4140625" style="1"/>
    <col min="5847" max="5847" width="6.4140625" style="2"/>
    <col min="5848" max="5848" width="6.4140625" style="3"/>
    <col min="5849" max="5849" width="6.4140625" style="2"/>
    <col min="5850" max="5850" width="6.4140625" style="3"/>
    <col min="5851" max="5852" width="6.4140625" style="2"/>
    <col min="5853" max="5853" width="6.4140625" style="1"/>
    <col min="5854" max="5854" width="6.4140625" style="2"/>
    <col min="5855" max="5855" width="6.4140625" style="3"/>
    <col min="5856" max="5856" width="6.4140625" style="2"/>
    <col min="5857" max="5857" width="6.4140625" style="3"/>
    <col min="5858" max="5859" width="6.4140625" style="2"/>
    <col min="5860" max="5860" width="6.4140625" style="1"/>
    <col min="5861" max="5861" width="6.4140625" style="2"/>
    <col min="5862" max="5862" width="6.4140625" style="3"/>
    <col min="5863" max="5863" width="6.4140625" style="2"/>
    <col min="5864" max="5864" width="6.4140625" style="3"/>
    <col min="5865" max="5866" width="6.4140625" style="2"/>
    <col min="5867" max="5867" width="6.4140625" style="1"/>
    <col min="5868" max="5868" width="6.4140625" style="2"/>
    <col min="5869" max="5869" width="6.4140625" style="3"/>
    <col min="5870" max="5870" width="6.4140625" style="2"/>
    <col min="5871" max="5871" width="6.4140625" style="3"/>
    <col min="5872" max="5873" width="6.4140625" style="2"/>
    <col min="5874" max="5874" width="6.4140625" style="1"/>
    <col min="5875" max="5875" width="6.4140625" style="2"/>
    <col min="5876" max="5876" width="6.4140625" style="3"/>
    <col min="5877" max="5877" width="6.4140625" style="2"/>
    <col min="5878" max="5878" width="6.4140625" style="3"/>
    <col min="5879" max="5880" width="6.4140625" style="2"/>
    <col min="5881" max="5881" width="6.4140625" style="1"/>
    <col min="5882" max="5882" width="6.4140625" style="2"/>
    <col min="5883" max="5883" width="6.4140625" style="3"/>
    <col min="5884" max="5884" width="6.4140625" style="2"/>
    <col min="5885" max="5885" width="6.4140625" style="3"/>
    <col min="5886" max="5887" width="6.4140625" style="2"/>
    <col min="5888" max="5888" width="6.4140625" style="1"/>
    <col min="5889" max="5889" width="6.4140625" style="2"/>
    <col min="5890" max="5890" width="6.4140625" style="3"/>
    <col min="5891" max="5891" width="6.4140625" style="2"/>
    <col min="5892" max="5892" width="6.4140625" style="3"/>
    <col min="5893" max="5894" width="6.4140625" style="2"/>
    <col min="5895" max="5895" width="6.4140625" style="1"/>
    <col min="5896" max="5896" width="6.4140625" style="2"/>
    <col min="5897" max="5897" width="6.4140625" style="3"/>
    <col min="5898" max="5898" width="6.4140625" style="2"/>
    <col min="5899" max="5899" width="6.4140625" style="3"/>
    <col min="5900" max="5901" width="6.4140625" style="2"/>
    <col min="5902" max="5902" width="6.4140625" style="1"/>
    <col min="5903" max="5903" width="6.4140625" style="2"/>
    <col min="5904" max="5904" width="6.4140625" style="3"/>
    <col min="5905" max="5905" width="6.4140625" style="2"/>
    <col min="5906" max="5906" width="6.4140625" style="3"/>
    <col min="5907" max="5908" width="6.4140625" style="2"/>
    <col min="5909" max="5909" width="6.4140625" style="1"/>
    <col min="5910" max="5910" width="6.4140625" style="2"/>
    <col min="5911" max="5911" width="6.4140625" style="3"/>
    <col min="5912" max="5912" width="6.4140625" style="2"/>
    <col min="5913" max="5913" width="6.4140625" style="3"/>
    <col min="5914" max="5915" width="6.4140625" style="2"/>
    <col min="5916" max="5916" width="6.4140625" style="1"/>
    <col min="5917" max="5917" width="6.4140625" style="2"/>
    <col min="5918" max="5918" width="6.4140625" style="3"/>
    <col min="5919" max="5919" width="6.4140625" style="2"/>
    <col min="5920" max="5920" width="6.4140625" style="3"/>
    <col min="5921" max="5922" width="6.4140625" style="2"/>
    <col min="5923" max="5923" width="6.4140625" style="1"/>
    <col min="5924" max="5924" width="6.4140625" style="2"/>
    <col min="5925" max="5925" width="6.4140625" style="3"/>
    <col min="5926" max="5926" width="6.4140625" style="2"/>
    <col min="5927" max="5927" width="6.4140625" style="3"/>
    <col min="5928" max="5929" width="6.4140625" style="2"/>
    <col min="5930" max="5930" width="6.4140625" style="1"/>
    <col min="5931" max="5931" width="6.4140625" style="2"/>
    <col min="5932" max="5932" width="6.4140625" style="3"/>
    <col min="5933" max="5933" width="6.4140625" style="2"/>
    <col min="5934" max="5934" width="6.4140625" style="3"/>
    <col min="5935" max="5936" width="6.4140625" style="2"/>
    <col min="5937" max="5937" width="6.4140625" style="1"/>
    <col min="5938" max="5938" width="6.4140625" style="2"/>
    <col min="5939" max="5939" width="6.4140625" style="3"/>
    <col min="5940" max="5940" width="6.4140625" style="2"/>
    <col min="5941" max="5941" width="6.4140625" style="3"/>
    <col min="5942" max="5943" width="6.4140625" style="2"/>
    <col min="5944" max="5944" width="6.4140625" style="1"/>
    <col min="5945" max="5945" width="6.4140625" style="2"/>
    <col min="5946" max="5946" width="6.4140625" style="3"/>
    <col min="5947" max="5947" width="6.4140625" style="2"/>
    <col min="5948" max="5948" width="6.4140625" style="3"/>
    <col min="5949" max="5950" width="6.4140625" style="2"/>
    <col min="5951" max="5951" width="6.4140625" style="1"/>
    <col min="5952" max="5952" width="6.4140625" style="2"/>
    <col min="5953" max="5953" width="6.4140625" style="3"/>
    <col min="5954" max="5954" width="6.4140625" style="2"/>
    <col min="5955" max="5955" width="6.4140625" style="3"/>
    <col min="5956" max="5957" width="6.4140625" style="2"/>
    <col min="5958" max="5958" width="6.4140625" style="1"/>
    <col min="5959" max="5959" width="6.4140625" style="2"/>
    <col min="5960" max="5960" width="6.4140625" style="3"/>
    <col min="5961" max="5961" width="6.4140625" style="2"/>
    <col min="5962" max="5962" width="6.4140625" style="3"/>
    <col min="5963" max="5964" width="6.4140625" style="2"/>
    <col min="5965" max="5965" width="6.4140625" style="1"/>
    <col min="5966" max="5966" width="6.4140625" style="2"/>
    <col min="5967" max="5967" width="6.4140625" style="3"/>
    <col min="5968" max="5968" width="6.4140625" style="2"/>
    <col min="5969" max="5969" width="6.4140625" style="3"/>
    <col min="5970" max="5971" width="6.4140625" style="2"/>
    <col min="5972" max="5972" width="6.4140625" style="1"/>
    <col min="5973" max="5973" width="6.4140625" style="2"/>
    <col min="5974" max="5974" width="6.4140625" style="3"/>
    <col min="5975" max="5975" width="6.4140625" style="2"/>
    <col min="5976" max="5976" width="6.4140625" style="3"/>
    <col min="5977" max="5978" width="6.4140625" style="2"/>
    <col min="5979" max="5979" width="6.4140625" style="1"/>
    <col min="5980" max="5980" width="6.4140625" style="2"/>
    <col min="5981" max="5981" width="6.4140625" style="3"/>
    <col min="5982" max="5982" width="6.4140625" style="2"/>
    <col min="5983" max="5983" width="6.4140625" style="3"/>
    <col min="5984" max="5985" width="6.4140625" style="2"/>
    <col min="5986" max="5986" width="6.4140625" style="1"/>
    <col min="5987" max="5987" width="6.4140625" style="2"/>
    <col min="5988" max="5988" width="6.4140625" style="3"/>
    <col min="5989" max="5989" width="6.4140625" style="2"/>
    <col min="5990" max="5990" width="6.4140625" style="3"/>
    <col min="5991" max="5992" width="6.4140625" style="2"/>
    <col min="5993" max="5993" width="6.4140625" style="1"/>
    <col min="5994" max="5994" width="6.4140625" style="2"/>
    <col min="5995" max="5995" width="6.4140625" style="3"/>
    <col min="5996" max="5996" width="6.4140625" style="2"/>
    <col min="5997" max="5997" width="6.4140625" style="3"/>
    <col min="5998" max="5999" width="6.4140625" style="2"/>
    <col min="6000" max="6000" width="6.4140625" style="1"/>
    <col min="6001" max="6001" width="6.4140625" style="2"/>
    <col min="6002" max="6002" width="6.4140625" style="3"/>
    <col min="6003" max="6003" width="6.4140625" style="2"/>
    <col min="6004" max="6004" width="6.4140625" style="3"/>
    <col min="6005" max="6006" width="6.4140625" style="2"/>
    <col min="6007" max="6007" width="6.4140625" style="1"/>
    <col min="6008" max="6008" width="6.4140625" style="2"/>
    <col min="6009" max="6009" width="6.4140625" style="3"/>
    <col min="6010" max="6010" width="6.4140625" style="2"/>
    <col min="6011" max="6011" width="6.4140625" style="3"/>
    <col min="6012" max="6013" width="6.4140625" style="2"/>
    <col min="6014" max="6014" width="6.4140625" style="1"/>
    <col min="6015" max="6015" width="6.4140625" style="2"/>
    <col min="6016" max="6016" width="6.4140625" style="3"/>
    <col min="6017" max="6017" width="6.4140625" style="2"/>
    <col min="6018" max="6018" width="6.4140625" style="3"/>
    <col min="6019" max="6020" width="6.4140625" style="2"/>
    <col min="6021" max="6021" width="6.4140625" style="1"/>
    <col min="6022" max="6022" width="6.4140625" style="2"/>
    <col min="6023" max="6023" width="6.4140625" style="3"/>
    <col min="6024" max="6024" width="6.4140625" style="2"/>
    <col min="6025" max="6025" width="6.4140625" style="3"/>
    <col min="6026" max="6027" width="6.4140625" style="2"/>
    <col min="6028" max="6028" width="6.4140625" style="1"/>
    <col min="6029" max="6029" width="6.4140625" style="2"/>
    <col min="6030" max="6030" width="6.4140625" style="3"/>
    <col min="6031" max="6031" width="6.4140625" style="2"/>
    <col min="6032" max="6032" width="6.4140625" style="3"/>
    <col min="6033" max="6034" width="6.4140625" style="2"/>
    <col min="6035" max="6035" width="6.4140625" style="1"/>
    <col min="6036" max="6036" width="6.4140625" style="2"/>
    <col min="6037" max="6037" width="6.4140625" style="3"/>
    <col min="6038" max="6038" width="6.4140625" style="2"/>
    <col min="6039" max="6039" width="6.4140625" style="3"/>
    <col min="6040" max="6041" width="6.4140625" style="2"/>
    <col min="6042" max="6042" width="6.4140625" style="1"/>
    <col min="6043" max="6043" width="6.4140625" style="2"/>
    <col min="6044" max="6044" width="6.4140625" style="3"/>
    <col min="6045" max="6045" width="6.4140625" style="2"/>
    <col min="6046" max="6046" width="6.4140625" style="3"/>
    <col min="6047" max="6048" width="6.4140625" style="2"/>
    <col min="6049" max="6049" width="6.4140625" style="1"/>
    <col min="6050" max="6050" width="6.4140625" style="2"/>
    <col min="6051" max="6051" width="6.4140625" style="3"/>
    <col min="6052" max="6052" width="6.4140625" style="2"/>
    <col min="6053" max="6053" width="6.4140625" style="3"/>
    <col min="6054" max="6055" width="6.4140625" style="2"/>
    <col min="6056" max="6056" width="6.4140625" style="1"/>
    <col min="6057" max="6057" width="6.4140625" style="2"/>
    <col min="6058" max="6058" width="6.4140625" style="3"/>
    <col min="6059" max="6059" width="6.4140625" style="2"/>
    <col min="6060" max="6060" width="6.4140625" style="3"/>
    <col min="6061" max="6062" width="6.4140625" style="2"/>
    <col min="6063" max="6063" width="6.4140625" style="1"/>
    <col min="6064" max="6064" width="6.4140625" style="2"/>
    <col min="6065" max="6065" width="6.4140625" style="3"/>
    <col min="6066" max="6066" width="6.4140625" style="2"/>
    <col min="6067" max="6067" width="6.4140625" style="3"/>
    <col min="6068" max="6069" width="6.4140625" style="2"/>
    <col min="6070" max="6070" width="6.4140625" style="1"/>
    <col min="6071" max="6071" width="6.4140625" style="2"/>
    <col min="6072" max="6072" width="6.4140625" style="3"/>
    <col min="6073" max="6073" width="6.4140625" style="2"/>
    <col min="6074" max="6074" width="6.4140625" style="3"/>
    <col min="6075" max="6076" width="6.4140625" style="2"/>
    <col min="6077" max="6077" width="6.4140625" style="1"/>
    <col min="6078" max="6078" width="6.4140625" style="2"/>
    <col min="6079" max="6079" width="6.4140625" style="3"/>
    <col min="6080" max="6080" width="6.4140625" style="2"/>
    <col min="6081" max="6081" width="6.4140625" style="3"/>
    <col min="6082" max="6083" width="6.4140625" style="2"/>
    <col min="6084" max="6084" width="6.4140625" style="1"/>
    <col min="6085" max="6085" width="6.4140625" style="2"/>
    <col min="6086" max="6086" width="6.4140625" style="3"/>
    <col min="6087" max="6087" width="6.4140625" style="2"/>
    <col min="6088" max="6088" width="6.4140625" style="3"/>
    <col min="6089" max="6090" width="6.4140625" style="2"/>
    <col min="6091" max="6091" width="6.4140625" style="1"/>
    <col min="6092" max="6092" width="6.4140625" style="2"/>
    <col min="6093" max="6093" width="6.4140625" style="3"/>
    <col min="6094" max="6094" width="6.4140625" style="2"/>
    <col min="6095" max="6095" width="6.4140625" style="3"/>
    <col min="6096" max="6097" width="6.4140625" style="2"/>
    <col min="6098" max="6098" width="6.4140625" style="1"/>
    <col min="6099" max="6099" width="6.4140625" style="2"/>
    <col min="6100" max="6100" width="6.4140625" style="3"/>
    <col min="6101" max="6101" width="6.4140625" style="2"/>
    <col min="6102" max="6102" width="6.4140625" style="3"/>
    <col min="6103" max="6104" width="6.4140625" style="2"/>
    <col min="6105" max="6105" width="6.4140625" style="1"/>
    <col min="6106" max="6106" width="6.4140625" style="2"/>
    <col min="6107" max="6107" width="6.4140625" style="3"/>
    <col min="6108" max="6108" width="6.4140625" style="2"/>
    <col min="6109" max="6109" width="6.4140625" style="3"/>
    <col min="6110" max="6111" width="6.4140625" style="2"/>
    <col min="6112" max="6112" width="6.4140625" style="1"/>
    <col min="6113" max="6113" width="6.4140625" style="2"/>
    <col min="6114" max="6114" width="6.4140625" style="3"/>
    <col min="6115" max="6115" width="6.4140625" style="2"/>
    <col min="6116" max="6116" width="6.4140625" style="3"/>
    <col min="6117" max="6118" width="6.4140625" style="2"/>
    <col min="6119" max="6119" width="6.4140625" style="1"/>
    <col min="6120" max="6120" width="6.4140625" style="2"/>
    <col min="6121" max="6121" width="6.4140625" style="3"/>
    <col min="6122" max="6122" width="6.4140625" style="2"/>
    <col min="6123" max="6123" width="6.4140625" style="3"/>
    <col min="6124" max="6125" width="6.4140625" style="2"/>
    <col min="6126" max="6126" width="6.4140625" style="1"/>
    <col min="6127" max="6127" width="6.4140625" style="2"/>
    <col min="6128" max="6128" width="6.4140625" style="3"/>
    <col min="6129" max="6129" width="6.4140625" style="2"/>
    <col min="6130" max="6130" width="6.4140625" style="3"/>
    <col min="6131" max="6132" width="6.4140625" style="2"/>
    <col min="6133" max="6133" width="6.4140625" style="1"/>
    <col min="6134" max="6134" width="6.4140625" style="2"/>
    <col min="6135" max="6135" width="6.4140625" style="3"/>
    <col min="6136" max="6136" width="6.4140625" style="2"/>
    <col min="6137" max="6137" width="6.4140625" style="3"/>
    <col min="6138" max="6139" width="6.4140625" style="2"/>
    <col min="6140" max="6140" width="6.4140625" style="1"/>
    <col min="6141" max="6141" width="6.4140625" style="2"/>
    <col min="6142" max="6142" width="6.4140625" style="3"/>
    <col min="6143" max="6143" width="6.4140625" style="2"/>
    <col min="6144" max="6144" width="6.4140625" style="3"/>
    <col min="6145" max="6146" width="6.4140625" style="2"/>
    <col min="6147" max="6147" width="6.4140625" style="1"/>
    <col min="6148" max="6148" width="6.4140625" style="2"/>
    <col min="6149" max="6149" width="6.4140625" style="3"/>
    <col min="6150" max="6150" width="6.4140625" style="2"/>
    <col min="6151" max="6151" width="6.4140625" style="3"/>
    <col min="6152" max="6153" width="6.4140625" style="2"/>
    <col min="6154" max="6154" width="6.4140625" style="1"/>
    <col min="6155" max="6155" width="6.4140625" style="2"/>
    <col min="6156" max="6156" width="6.4140625" style="3"/>
    <col min="6157" max="6157" width="6.4140625" style="2"/>
    <col min="6158" max="6158" width="6.4140625" style="3"/>
    <col min="6159" max="6160" width="6.4140625" style="2"/>
    <col min="6161" max="6161" width="6.4140625" style="1"/>
    <col min="6162" max="6162" width="6.4140625" style="2"/>
    <col min="6163" max="6163" width="6.4140625" style="3"/>
    <col min="6164" max="6164" width="6.4140625" style="2"/>
    <col min="6165" max="6165" width="6.4140625" style="3"/>
    <col min="6166" max="6167" width="6.4140625" style="2"/>
    <col min="6168" max="6168" width="6.4140625" style="1"/>
    <col min="6169" max="6169" width="6.4140625" style="2"/>
    <col min="6170" max="6170" width="6.4140625" style="3"/>
    <col min="6171" max="6171" width="6.4140625" style="2"/>
    <col min="6172" max="6172" width="6.4140625" style="3"/>
    <col min="6173" max="6174" width="6.4140625" style="2"/>
    <col min="6175" max="6175" width="6.4140625" style="1"/>
    <col min="6176" max="6176" width="6.4140625" style="2"/>
    <col min="6177" max="6177" width="6.4140625" style="3"/>
    <col min="6178" max="6178" width="6.4140625" style="2"/>
    <col min="6179" max="6179" width="6.4140625" style="3"/>
    <col min="6180" max="6181" width="6.4140625" style="2"/>
    <col min="6182" max="6182" width="6.4140625" style="1"/>
    <col min="6183" max="6183" width="6.4140625" style="2"/>
    <col min="6184" max="6184" width="6.4140625" style="3"/>
    <col min="6185" max="6185" width="6.4140625" style="2"/>
    <col min="6186" max="6186" width="6.4140625" style="3"/>
    <col min="6187" max="6188" width="6.4140625" style="2"/>
    <col min="6189" max="6189" width="6.4140625" style="1"/>
    <col min="6190" max="6190" width="6.4140625" style="2"/>
    <col min="6191" max="6191" width="6.4140625" style="3"/>
    <col min="6192" max="6192" width="6.4140625" style="2"/>
    <col min="6193" max="6193" width="6.4140625" style="3"/>
    <col min="6194" max="6195" width="6.4140625" style="2"/>
    <col min="6196" max="6196" width="6.4140625" style="1"/>
    <col min="6197" max="6197" width="6.4140625" style="2"/>
    <col min="6198" max="6198" width="6.4140625" style="3"/>
    <col min="6199" max="6199" width="6.4140625" style="2"/>
    <col min="6200" max="6200" width="6.4140625" style="3"/>
    <col min="6201" max="6202" width="6.4140625" style="2"/>
    <col min="6203" max="6203" width="6.4140625" style="1"/>
    <col min="6204" max="6204" width="6.4140625" style="2"/>
    <col min="6205" max="6205" width="6.4140625" style="3"/>
    <col min="6206" max="6206" width="6.4140625" style="2"/>
    <col min="6207" max="6207" width="6.4140625" style="3"/>
    <col min="6208" max="6209" width="6.4140625" style="2"/>
    <col min="6210" max="6210" width="6.4140625" style="1"/>
    <col min="6211" max="6211" width="6.4140625" style="2"/>
    <col min="6212" max="6212" width="6.4140625" style="3"/>
    <col min="6213" max="6213" width="6.4140625" style="2"/>
    <col min="6214" max="6214" width="6.4140625" style="3"/>
    <col min="6215" max="6216" width="6.4140625" style="2"/>
    <col min="6217" max="6217" width="6.4140625" style="1"/>
    <col min="6218" max="6218" width="6.4140625" style="2"/>
    <col min="6219" max="6219" width="6.4140625" style="3"/>
    <col min="6220" max="6220" width="6.4140625" style="2"/>
    <col min="6221" max="6221" width="6.4140625" style="3"/>
    <col min="6222" max="6223" width="6.4140625" style="2"/>
    <col min="6224" max="6224" width="6.4140625" style="1"/>
    <col min="6225" max="6225" width="6.4140625" style="2"/>
    <col min="6226" max="6226" width="6.4140625" style="3"/>
    <col min="6227" max="6227" width="6.4140625" style="2"/>
    <col min="6228" max="6228" width="6.4140625" style="3"/>
    <col min="6229" max="6230" width="6.4140625" style="2"/>
    <col min="6231" max="6231" width="6.4140625" style="1"/>
    <col min="6232" max="6232" width="6.4140625" style="2"/>
    <col min="6233" max="6233" width="6.4140625" style="3"/>
    <col min="6234" max="6234" width="6.4140625" style="2"/>
    <col min="6235" max="6235" width="6.4140625" style="3"/>
    <col min="6236" max="6237" width="6.4140625" style="2"/>
    <col min="6238" max="6238" width="6.4140625" style="1"/>
    <col min="6239" max="6239" width="6.4140625" style="2"/>
    <col min="6240" max="6240" width="6.4140625" style="3"/>
    <col min="6241" max="6241" width="6.4140625" style="2"/>
    <col min="6242" max="6242" width="6.4140625" style="3"/>
    <col min="6243" max="6244" width="6.4140625" style="2"/>
    <col min="6245" max="6245" width="6.4140625" style="1"/>
    <col min="6246" max="6246" width="6.4140625" style="2"/>
    <col min="6247" max="6247" width="6.4140625" style="3"/>
    <col min="6248" max="6248" width="6.4140625" style="2"/>
    <col min="6249" max="6249" width="6.4140625" style="3"/>
    <col min="6250" max="6251" width="6.4140625" style="2"/>
    <col min="6252" max="6252" width="6.4140625" style="1"/>
    <col min="6253" max="6253" width="6.4140625" style="2"/>
    <col min="6254" max="6254" width="6.4140625" style="3"/>
    <col min="6255" max="6255" width="6.4140625" style="2"/>
    <col min="6256" max="6256" width="6.4140625" style="3"/>
    <col min="6257" max="6258" width="6.4140625" style="2"/>
    <col min="6259" max="6259" width="6.4140625" style="1"/>
    <col min="6260" max="6260" width="6.4140625" style="2"/>
    <col min="6261" max="6261" width="6.4140625" style="3"/>
    <col min="6262" max="6262" width="6.4140625" style="2"/>
    <col min="6263" max="6263" width="6.4140625" style="3"/>
    <col min="6264" max="6265" width="6.4140625" style="2"/>
    <col min="6266" max="6266" width="6.4140625" style="1"/>
    <col min="6267" max="6267" width="6.4140625" style="2"/>
    <col min="6268" max="6268" width="6.4140625" style="3"/>
    <col min="6269" max="6269" width="6.4140625" style="2"/>
    <col min="6270" max="6270" width="6.4140625" style="3"/>
    <col min="6271" max="6272" width="6.4140625" style="2"/>
    <col min="6273" max="6273" width="6.4140625" style="1"/>
    <col min="6274" max="6274" width="6.4140625" style="2"/>
    <col min="6275" max="6275" width="6.4140625" style="3"/>
    <col min="6276" max="6276" width="6.4140625" style="2"/>
    <col min="6277" max="6277" width="6.4140625" style="3"/>
    <col min="6278" max="6279" width="6.4140625" style="2"/>
    <col min="6280" max="6280" width="6.4140625" style="1"/>
    <col min="6281" max="6281" width="6.4140625" style="2"/>
    <col min="6282" max="6282" width="6.4140625" style="3"/>
    <col min="6283" max="6283" width="6.4140625" style="2"/>
    <col min="6284" max="6284" width="6.4140625" style="3"/>
    <col min="6285" max="6286" width="6.4140625" style="2"/>
    <col min="6287" max="6287" width="6.4140625" style="1"/>
    <col min="6288" max="6288" width="6.4140625" style="2"/>
    <col min="6289" max="6289" width="6.4140625" style="3"/>
    <col min="6290" max="6290" width="6.4140625" style="2"/>
    <col min="6291" max="6291" width="6.4140625" style="3"/>
    <col min="6292" max="6293" width="6.4140625" style="2"/>
    <col min="6294" max="6294" width="6.4140625" style="1"/>
    <col min="6295" max="6295" width="6.4140625" style="2"/>
    <col min="6296" max="6296" width="6.4140625" style="3"/>
    <col min="6297" max="6297" width="6.4140625" style="2"/>
    <col min="6298" max="6298" width="6.4140625" style="3"/>
    <col min="6299" max="6300" width="6.4140625" style="2"/>
    <col min="6301" max="6301" width="6.4140625" style="1"/>
    <col min="6302" max="6302" width="6.4140625" style="2"/>
    <col min="6303" max="6303" width="6.4140625" style="3"/>
    <col min="6304" max="6304" width="6.4140625" style="2"/>
    <col min="6305" max="6305" width="6.4140625" style="3"/>
    <col min="6306" max="6307" width="6.4140625" style="2"/>
    <col min="6308" max="6308" width="6.4140625" style="1"/>
    <col min="6309" max="6309" width="6.4140625" style="2"/>
    <col min="6310" max="6310" width="6.4140625" style="3"/>
    <col min="6311" max="6311" width="6.4140625" style="2"/>
    <col min="6312" max="6312" width="6.4140625" style="3"/>
    <col min="6313" max="6314" width="6.4140625" style="2"/>
    <col min="6315" max="6315" width="6.4140625" style="1"/>
    <col min="6316" max="6316" width="6.4140625" style="2"/>
    <col min="6317" max="6317" width="6.4140625" style="3"/>
    <col min="6318" max="6318" width="6.4140625" style="2"/>
    <col min="6319" max="6319" width="6.4140625" style="3"/>
    <col min="6320" max="6321" width="6.4140625" style="2"/>
    <col min="6322" max="6322" width="6.4140625" style="1"/>
    <col min="6323" max="6323" width="6.4140625" style="2"/>
    <col min="6324" max="6324" width="6.4140625" style="3"/>
    <col min="6325" max="6325" width="6.4140625" style="2"/>
    <col min="6326" max="6326" width="6.4140625" style="3"/>
    <col min="6327" max="6328" width="6.4140625" style="2"/>
    <col min="6329" max="6329" width="6.4140625" style="1"/>
    <col min="6330" max="6330" width="6.4140625" style="2"/>
    <col min="6331" max="6331" width="6.4140625" style="3"/>
    <col min="6332" max="6332" width="6.4140625" style="2"/>
    <col min="6333" max="6333" width="6.4140625" style="3"/>
    <col min="6334" max="6335" width="6.4140625" style="2"/>
    <col min="6336" max="6336" width="6.4140625" style="1"/>
    <col min="6337" max="6337" width="6.4140625" style="2"/>
    <col min="6338" max="6338" width="6.4140625" style="3"/>
    <col min="6339" max="6339" width="6.4140625" style="2"/>
    <col min="6340" max="6340" width="6.4140625" style="3"/>
    <col min="6341" max="6342" width="6.4140625" style="2"/>
    <col min="6343" max="6343" width="6.4140625" style="1"/>
    <col min="6344" max="6344" width="6.4140625" style="2"/>
    <col min="6345" max="6345" width="6.4140625" style="3"/>
    <col min="6346" max="6346" width="6.4140625" style="2"/>
    <col min="6347" max="6347" width="6.4140625" style="3"/>
    <col min="6348" max="6349" width="6.4140625" style="2"/>
    <col min="6350" max="6350" width="6.4140625" style="1"/>
    <col min="6351" max="6351" width="6.4140625" style="2"/>
    <col min="6352" max="6352" width="6.4140625" style="3"/>
    <col min="6353" max="6353" width="6.4140625" style="2"/>
    <col min="6354" max="6354" width="6.4140625" style="3"/>
    <col min="6355" max="6356" width="6.4140625" style="2"/>
    <col min="6357" max="6357" width="6.4140625" style="1"/>
    <col min="6358" max="6358" width="6.4140625" style="2"/>
    <col min="6359" max="6359" width="6.4140625" style="3"/>
    <col min="6360" max="6360" width="6.4140625" style="2"/>
    <col min="6361" max="6361" width="6.4140625" style="3"/>
    <col min="6362" max="6363" width="6.4140625" style="2"/>
    <col min="6364" max="6364" width="6.4140625" style="1"/>
    <col min="6365" max="6365" width="6.4140625" style="2"/>
    <col min="6366" max="6366" width="6.4140625" style="3"/>
    <col min="6367" max="6367" width="6.4140625" style="2"/>
    <col min="6368" max="6368" width="6.4140625" style="3"/>
    <col min="6369" max="6370" width="6.4140625" style="2"/>
    <col min="6371" max="6371" width="6.4140625" style="1"/>
    <col min="6372" max="6372" width="6.4140625" style="2"/>
    <col min="6373" max="6373" width="6.4140625" style="3"/>
    <col min="6374" max="6374" width="6.4140625" style="2"/>
    <col min="6375" max="6375" width="6.4140625" style="3"/>
    <col min="6376" max="6377" width="6.4140625" style="2"/>
    <col min="6378" max="6378" width="6.4140625" style="1"/>
    <col min="6379" max="6379" width="6.4140625" style="2"/>
    <col min="6380" max="6380" width="6.4140625" style="3"/>
    <col min="6381" max="6381" width="6.4140625" style="2"/>
    <col min="6382" max="6382" width="6.4140625" style="3"/>
    <col min="6383" max="6384" width="6.4140625" style="2"/>
    <col min="6385" max="6385" width="6.4140625" style="1"/>
    <col min="6386" max="6386" width="6.4140625" style="2"/>
    <col min="6387" max="6387" width="6.4140625" style="3"/>
    <col min="6388" max="6388" width="6.4140625" style="2"/>
    <col min="6389" max="6389" width="6.4140625" style="3"/>
    <col min="6390" max="6391" width="6.4140625" style="2"/>
    <col min="6392" max="6392" width="6.4140625" style="1"/>
    <col min="6393" max="6393" width="6.4140625" style="2"/>
    <col min="6394" max="6394" width="6.4140625" style="3"/>
    <col min="6395" max="6395" width="6.4140625" style="2"/>
    <col min="6396" max="6396" width="6.4140625" style="3"/>
    <col min="6397" max="6398" width="6.4140625" style="2"/>
    <col min="6399" max="6399" width="6.4140625" style="1"/>
    <col min="6400" max="6400" width="6.4140625" style="2"/>
    <col min="6401" max="6401" width="6.4140625" style="3"/>
    <col min="6402" max="6402" width="6.4140625" style="2"/>
    <col min="6403" max="6403" width="6.4140625" style="3"/>
    <col min="6404" max="6405" width="6.4140625" style="2"/>
    <col min="6406" max="6406" width="6.4140625" style="1"/>
    <col min="6407" max="6407" width="6.4140625" style="2"/>
    <col min="6408" max="6408" width="6.4140625" style="3"/>
    <col min="6409" max="6409" width="6.4140625" style="2"/>
    <col min="6410" max="6410" width="6.4140625" style="3"/>
    <col min="6411" max="6412" width="6.4140625" style="2"/>
    <col min="6413" max="6413" width="6.4140625" style="1"/>
    <col min="6414" max="6414" width="6.4140625" style="2"/>
    <col min="6415" max="6415" width="6.4140625" style="3"/>
    <col min="6416" max="6416" width="6.4140625" style="2"/>
    <col min="6417" max="6417" width="6.4140625" style="3"/>
    <col min="6418" max="6419" width="6.4140625" style="2"/>
    <col min="6420" max="6420" width="6.4140625" style="1"/>
    <col min="6421" max="6421" width="6.4140625" style="2"/>
    <col min="6422" max="6422" width="6.4140625" style="3"/>
    <col min="6423" max="6423" width="6.4140625" style="2"/>
    <col min="6424" max="6424" width="6.4140625" style="3"/>
    <col min="6425" max="6426" width="6.4140625" style="2"/>
    <col min="6427" max="6427" width="6.4140625" style="1"/>
    <col min="6428" max="6428" width="6.4140625" style="2"/>
    <col min="6429" max="6429" width="6.4140625" style="3"/>
    <col min="6430" max="6430" width="6.4140625" style="2"/>
    <col min="6431" max="6431" width="6.4140625" style="3"/>
    <col min="6432" max="6433" width="6.4140625" style="2"/>
    <col min="6434" max="6434" width="6.4140625" style="1"/>
    <col min="6435" max="6435" width="6.4140625" style="2"/>
    <col min="6436" max="6436" width="6.4140625" style="3"/>
    <col min="6437" max="6437" width="6.4140625" style="2"/>
    <col min="6438" max="6438" width="6.4140625" style="3"/>
    <col min="6439" max="6440" width="6.4140625" style="2"/>
    <col min="6441" max="6441" width="6.4140625" style="1"/>
    <col min="6442" max="6442" width="6.4140625" style="2"/>
    <col min="6443" max="6443" width="6.4140625" style="3"/>
    <col min="6444" max="6444" width="6.4140625" style="2"/>
    <col min="6445" max="6445" width="6.4140625" style="3"/>
    <col min="6446" max="6447" width="6.4140625" style="2"/>
    <col min="6448" max="6448" width="6.4140625" style="1"/>
    <col min="6449" max="6449" width="6.4140625" style="2"/>
    <col min="6450" max="6450" width="6.4140625" style="3"/>
    <col min="6451" max="6451" width="6.4140625" style="2"/>
    <col min="6452" max="6452" width="6.4140625" style="3"/>
    <col min="6453" max="6454" width="6.4140625" style="2"/>
    <col min="6455" max="6455" width="6.4140625" style="1"/>
    <col min="6456" max="6456" width="6.4140625" style="2"/>
    <col min="6457" max="6457" width="6.4140625" style="3"/>
    <col min="6458" max="6458" width="6.4140625" style="2"/>
    <col min="6459" max="6459" width="6.4140625" style="3"/>
    <col min="6460" max="6461" width="6.4140625" style="2"/>
    <col min="6462" max="6462" width="6.4140625" style="1"/>
    <col min="6463" max="6463" width="6.4140625" style="2"/>
    <col min="6464" max="6464" width="6.4140625" style="3"/>
    <col min="6465" max="6465" width="6.4140625" style="2"/>
    <col min="6466" max="6466" width="6.4140625" style="3"/>
    <col min="6467" max="6468" width="6.4140625" style="2"/>
    <col min="6469" max="6469" width="6.4140625" style="1"/>
    <col min="6470" max="6470" width="6.4140625" style="2"/>
    <col min="6471" max="6471" width="6.4140625" style="3"/>
    <col min="6472" max="6472" width="6.4140625" style="2"/>
    <col min="6473" max="6473" width="6.4140625" style="3"/>
    <col min="6474" max="6475" width="6.4140625" style="2"/>
    <col min="6476" max="6476" width="6.4140625" style="1"/>
    <col min="6477" max="6477" width="6.4140625" style="2"/>
    <col min="6478" max="6478" width="6.4140625" style="3"/>
    <col min="6479" max="6479" width="6.4140625" style="2"/>
    <col min="6480" max="6480" width="6.4140625" style="3"/>
    <col min="6481" max="6482" width="6.4140625" style="2"/>
    <col min="6483" max="6483" width="6.4140625" style="1"/>
    <col min="6484" max="6484" width="6.4140625" style="2"/>
    <col min="6485" max="6485" width="6.4140625" style="3"/>
    <col min="6486" max="6486" width="6.4140625" style="2"/>
    <col min="6487" max="6487" width="6.4140625" style="3"/>
    <col min="6488" max="6489" width="6.4140625" style="2"/>
    <col min="6490" max="6490" width="6.4140625" style="1"/>
    <col min="6491" max="6491" width="6.4140625" style="2"/>
    <col min="6492" max="6492" width="6.4140625" style="3"/>
    <col min="6493" max="6493" width="6.4140625" style="2"/>
    <col min="6494" max="6494" width="6.4140625" style="3"/>
    <col min="6495" max="6496" width="6.4140625" style="2"/>
    <col min="6497" max="6497" width="6.4140625" style="1"/>
    <col min="6498" max="6498" width="6.4140625" style="2"/>
    <col min="6499" max="6499" width="6.4140625" style="3"/>
    <col min="6500" max="6500" width="6.4140625" style="2"/>
    <col min="6501" max="6501" width="6.4140625" style="3"/>
    <col min="6502" max="6503" width="6.4140625" style="2"/>
    <col min="6504" max="6504" width="6.4140625" style="1"/>
    <col min="6505" max="6505" width="6.4140625" style="2"/>
    <col min="6506" max="6506" width="6.4140625" style="3"/>
    <col min="6507" max="6507" width="6.4140625" style="2"/>
    <col min="6508" max="6508" width="6.4140625" style="3"/>
    <col min="6509" max="6510" width="6.4140625" style="2"/>
    <col min="6511" max="6511" width="6.4140625" style="1"/>
    <col min="6512" max="6512" width="6.4140625" style="2"/>
    <col min="6513" max="6513" width="6.4140625" style="3"/>
    <col min="6514" max="6514" width="6.4140625" style="2"/>
    <col min="6515" max="6515" width="6.4140625" style="3"/>
    <col min="6516" max="6517" width="6.4140625" style="2"/>
    <col min="6518" max="6518" width="6.4140625" style="1"/>
    <col min="6519" max="6519" width="6.4140625" style="2"/>
    <col min="6520" max="6520" width="6.4140625" style="3"/>
    <col min="6521" max="6521" width="6.4140625" style="2"/>
    <col min="6522" max="6522" width="6.4140625" style="3"/>
    <col min="6523" max="6524" width="6.4140625" style="2"/>
    <col min="6525" max="6525" width="6.4140625" style="1"/>
    <col min="6526" max="6526" width="6.4140625" style="2"/>
    <col min="6527" max="6527" width="6.4140625" style="3"/>
    <col min="6528" max="6528" width="6.4140625" style="2"/>
    <col min="6529" max="6529" width="6.4140625" style="3"/>
    <col min="6530" max="6531" width="6.4140625" style="2"/>
    <col min="6532" max="6532" width="6.4140625" style="1"/>
    <col min="6533" max="6533" width="6.4140625" style="2"/>
    <col min="6534" max="6534" width="6.4140625" style="3"/>
    <col min="6535" max="6535" width="6.4140625" style="2"/>
    <col min="6536" max="6536" width="6.4140625" style="3"/>
    <col min="6537" max="6538" width="6.4140625" style="2"/>
    <col min="6539" max="6539" width="6.4140625" style="1"/>
    <col min="6540" max="6540" width="6.4140625" style="2"/>
    <col min="6541" max="6541" width="6.4140625" style="3"/>
    <col min="6542" max="6542" width="6.4140625" style="2"/>
    <col min="6543" max="6543" width="6.4140625" style="3"/>
    <col min="6544" max="6545" width="6.4140625" style="2"/>
    <col min="6546" max="6546" width="6.4140625" style="1"/>
    <col min="6547" max="6547" width="6.4140625" style="2"/>
    <col min="6548" max="6548" width="6.4140625" style="3"/>
    <col min="6549" max="6549" width="6.4140625" style="2"/>
    <col min="6550" max="6550" width="6.4140625" style="3"/>
    <col min="6551" max="6552" width="6.4140625" style="2"/>
    <col min="6553" max="6553" width="6.4140625" style="1"/>
    <col min="6554" max="6554" width="6.4140625" style="2"/>
    <col min="6555" max="6555" width="6.4140625" style="3"/>
    <col min="6556" max="6556" width="6.4140625" style="2"/>
    <col min="6557" max="6557" width="6.4140625" style="3"/>
    <col min="6558" max="6559" width="6.4140625" style="2"/>
    <col min="6560" max="6560" width="6.4140625" style="1"/>
    <col min="6561" max="6561" width="6.4140625" style="2"/>
    <col min="6562" max="6562" width="6.4140625" style="3"/>
    <col min="6563" max="6563" width="6.4140625" style="2"/>
    <col min="6564" max="6564" width="6.4140625" style="3"/>
    <col min="6565" max="6566" width="6.4140625" style="2"/>
    <col min="6567" max="6567" width="6.4140625" style="1"/>
    <col min="6568" max="6568" width="6.4140625" style="2"/>
    <col min="6569" max="6569" width="6.4140625" style="3"/>
    <col min="6570" max="6570" width="6.4140625" style="2"/>
    <col min="6571" max="6571" width="6.4140625" style="3"/>
    <col min="6572" max="6573" width="6.4140625" style="2"/>
    <col min="6574" max="6574" width="6.4140625" style="1"/>
    <col min="6575" max="6575" width="6.4140625" style="2"/>
    <col min="6576" max="6576" width="6.4140625" style="3"/>
    <col min="6577" max="6577" width="6.4140625" style="2"/>
    <col min="6578" max="6578" width="6.4140625" style="3"/>
    <col min="6579" max="6580" width="6.4140625" style="2"/>
    <col min="6581" max="6581" width="6.4140625" style="1"/>
    <col min="6582" max="6582" width="6.4140625" style="2"/>
    <col min="6583" max="6583" width="6.4140625" style="3"/>
    <col min="6584" max="6584" width="6.4140625" style="2"/>
    <col min="6585" max="6585" width="6.4140625" style="3"/>
    <col min="6586" max="6587" width="6.4140625" style="2"/>
    <col min="6588" max="6588" width="6.4140625" style="1"/>
    <col min="6589" max="6589" width="6.4140625" style="2"/>
    <col min="6590" max="6590" width="6.4140625" style="3"/>
    <col min="6591" max="6591" width="6.4140625" style="2"/>
    <col min="6592" max="6592" width="6.4140625" style="3"/>
    <col min="6593" max="6594" width="6.4140625" style="2"/>
    <col min="6595" max="6595" width="6.4140625" style="1"/>
    <col min="6596" max="6596" width="6.4140625" style="2"/>
    <col min="6597" max="6597" width="6.4140625" style="3"/>
    <col min="6598" max="6598" width="6.4140625" style="2"/>
    <col min="6599" max="6599" width="6.4140625" style="3"/>
    <col min="6600" max="6601" width="6.4140625" style="2"/>
    <col min="6602" max="6602" width="6.4140625" style="1"/>
    <col min="6603" max="6603" width="6.4140625" style="2"/>
    <col min="6604" max="6604" width="6.4140625" style="3"/>
    <col min="6605" max="6605" width="6.4140625" style="2"/>
    <col min="6606" max="6606" width="6.4140625" style="3"/>
    <col min="6607" max="6608" width="6.4140625" style="2"/>
    <col min="6609" max="6609" width="6.4140625" style="1"/>
    <col min="6610" max="6610" width="6.4140625" style="2"/>
    <col min="6611" max="6611" width="6.4140625" style="3"/>
    <col min="6612" max="6612" width="6.4140625" style="2"/>
    <col min="6613" max="6613" width="6.4140625" style="3"/>
    <col min="6614" max="6615" width="6.4140625" style="2"/>
    <col min="6616" max="6616" width="6.4140625" style="1"/>
    <col min="6617" max="6617" width="6.4140625" style="2"/>
    <col min="6618" max="6618" width="6.4140625" style="3"/>
    <col min="6619" max="6619" width="6.4140625" style="2"/>
    <col min="6620" max="6620" width="6.4140625" style="3"/>
    <col min="6621" max="6622" width="6.4140625" style="2"/>
    <col min="6623" max="6623" width="6.4140625" style="1"/>
    <col min="6624" max="6624" width="6.4140625" style="2"/>
    <col min="6625" max="6625" width="6.4140625" style="3"/>
    <col min="6626" max="6626" width="6.4140625" style="2"/>
    <col min="6627" max="6627" width="6.4140625" style="3"/>
    <col min="6628" max="6629" width="6.4140625" style="2"/>
    <col min="6630" max="6630" width="6.4140625" style="1"/>
    <col min="6631" max="6631" width="6.4140625" style="2"/>
    <col min="6632" max="6632" width="6.4140625" style="3"/>
    <col min="6633" max="6633" width="6.4140625" style="2"/>
    <col min="6634" max="6634" width="6.4140625" style="3"/>
    <col min="6635" max="6636" width="6.4140625" style="2"/>
    <col min="6637" max="6637" width="6.4140625" style="1"/>
    <col min="6638" max="6638" width="6.4140625" style="2"/>
    <col min="6639" max="6639" width="6.4140625" style="3"/>
    <col min="6640" max="6640" width="6.4140625" style="2"/>
    <col min="6641" max="6641" width="6.4140625" style="3"/>
    <col min="6642" max="6643" width="6.4140625" style="2"/>
    <col min="6644" max="6644" width="6.4140625" style="1"/>
    <col min="6645" max="6645" width="6.4140625" style="2"/>
    <col min="6646" max="6646" width="6.4140625" style="3"/>
    <col min="6647" max="6647" width="6.4140625" style="2"/>
    <col min="6648" max="6648" width="6.4140625" style="3"/>
    <col min="6649" max="6650" width="6.4140625" style="2"/>
    <col min="6651" max="6651" width="6.4140625" style="1"/>
    <col min="6652" max="6652" width="6.4140625" style="2"/>
    <col min="6653" max="6653" width="6.4140625" style="3"/>
    <col min="6654" max="6654" width="6.4140625" style="2"/>
    <col min="6655" max="6655" width="6.4140625" style="3"/>
    <col min="6656" max="6657" width="6.4140625" style="2"/>
    <col min="6658" max="6658" width="6.4140625" style="1"/>
    <col min="6659" max="6659" width="6.4140625" style="2"/>
    <col min="6660" max="6660" width="6.4140625" style="3"/>
    <col min="6661" max="6661" width="6.4140625" style="2"/>
    <col min="6662" max="6662" width="6.4140625" style="3"/>
    <col min="6663" max="6664" width="6.4140625" style="2"/>
    <col min="6665" max="6665" width="6.4140625" style="1"/>
    <col min="6666" max="6666" width="6.4140625" style="2"/>
    <col min="6667" max="6667" width="6.4140625" style="3"/>
    <col min="6668" max="6668" width="6.4140625" style="2"/>
    <col min="6669" max="6669" width="6.4140625" style="3"/>
    <col min="6670" max="6671" width="6.4140625" style="2"/>
    <col min="6672" max="6672" width="6.4140625" style="1"/>
    <col min="6673" max="6673" width="6.4140625" style="2"/>
    <col min="6674" max="6674" width="6.4140625" style="3"/>
    <col min="6675" max="6675" width="6.4140625" style="2"/>
    <col min="6676" max="6676" width="6.4140625" style="3"/>
    <col min="6677" max="6678" width="6.4140625" style="2"/>
    <col min="6679" max="6679" width="6.4140625" style="1"/>
    <col min="6680" max="6680" width="6.4140625" style="2"/>
    <col min="6681" max="6681" width="6.4140625" style="3"/>
    <col min="6682" max="6682" width="6.4140625" style="2"/>
    <col min="6683" max="6683" width="6.4140625" style="3"/>
    <col min="6684" max="6685" width="6.4140625" style="2"/>
    <col min="6686" max="6686" width="6.4140625" style="1"/>
    <col min="6687" max="6687" width="6.4140625" style="2"/>
    <col min="6688" max="6688" width="6.4140625" style="3"/>
    <col min="6689" max="6689" width="6.4140625" style="2"/>
    <col min="6690" max="6690" width="6.4140625" style="3"/>
    <col min="6691" max="6692" width="6.4140625" style="2"/>
    <col min="6693" max="6693" width="6.4140625" style="1"/>
    <col min="6694" max="6694" width="6.4140625" style="2"/>
    <col min="6695" max="6695" width="6.4140625" style="3"/>
    <col min="6696" max="6696" width="6.4140625" style="2"/>
    <col min="6697" max="6697" width="6.4140625" style="3"/>
    <col min="6698" max="6699" width="6.4140625" style="2"/>
    <col min="6700" max="6700" width="6.4140625" style="1"/>
    <col min="6701" max="6701" width="6.4140625" style="2"/>
    <col min="6702" max="6702" width="6.4140625" style="3"/>
    <col min="6703" max="6703" width="6.4140625" style="2"/>
    <col min="6704" max="6704" width="6.4140625" style="3"/>
    <col min="6705" max="6706" width="6.4140625" style="2"/>
    <col min="6707" max="6707" width="6.4140625" style="1"/>
    <col min="6708" max="6708" width="6.4140625" style="2"/>
    <col min="6709" max="6709" width="6.4140625" style="3"/>
    <col min="6710" max="6710" width="6.4140625" style="2"/>
    <col min="6711" max="6711" width="6.4140625" style="3"/>
    <col min="6712" max="6713" width="6.4140625" style="2"/>
    <col min="6714" max="6714" width="6.4140625" style="1"/>
    <col min="6715" max="6715" width="6.4140625" style="2"/>
    <col min="6716" max="6716" width="6.4140625" style="3"/>
    <col min="6717" max="6717" width="6.4140625" style="2"/>
    <col min="6718" max="6718" width="6.4140625" style="3"/>
    <col min="6719" max="6720" width="6.4140625" style="2"/>
    <col min="6721" max="6721" width="6.4140625" style="1"/>
    <col min="6722" max="6722" width="6.4140625" style="2"/>
    <col min="6723" max="6723" width="6.4140625" style="3"/>
    <col min="6724" max="6724" width="6.4140625" style="2"/>
    <col min="6725" max="6725" width="6.4140625" style="3"/>
    <col min="6726" max="6727" width="6.4140625" style="2"/>
    <col min="6728" max="6728" width="6.4140625" style="1"/>
    <col min="6729" max="6729" width="6.4140625" style="2"/>
    <col min="6730" max="6730" width="6.4140625" style="3"/>
    <col min="6731" max="6731" width="6.4140625" style="2"/>
    <col min="6732" max="6732" width="6.4140625" style="3"/>
    <col min="6733" max="6734" width="6.4140625" style="2"/>
    <col min="6735" max="6735" width="6.4140625" style="1"/>
    <col min="6736" max="6736" width="6.4140625" style="2"/>
    <col min="6737" max="6737" width="6.4140625" style="3"/>
    <col min="6738" max="6738" width="6.4140625" style="2"/>
    <col min="6739" max="6739" width="6.4140625" style="3"/>
    <col min="6740" max="6741" width="6.4140625" style="2"/>
    <col min="6742" max="6742" width="6.4140625" style="1"/>
    <col min="6743" max="6743" width="6.4140625" style="2"/>
    <col min="6744" max="6744" width="6.4140625" style="3"/>
    <col min="6745" max="6745" width="6.4140625" style="2"/>
    <col min="6746" max="6746" width="6.4140625" style="3"/>
    <col min="6747" max="6748" width="6.4140625" style="2"/>
    <col min="6749" max="6749" width="6.4140625" style="1"/>
    <col min="6750" max="6750" width="6.4140625" style="2"/>
    <col min="6751" max="6751" width="6.4140625" style="3"/>
    <col min="6752" max="6752" width="6.4140625" style="2"/>
    <col min="6753" max="6753" width="6.4140625" style="3"/>
    <col min="6754" max="6755" width="6.4140625" style="2"/>
    <col min="6756" max="6756" width="6.4140625" style="1"/>
    <col min="6757" max="6757" width="6.4140625" style="2"/>
    <col min="6758" max="6758" width="6.4140625" style="3"/>
    <col min="6759" max="6759" width="6.4140625" style="2"/>
    <col min="6760" max="6760" width="6.4140625" style="3"/>
    <col min="6761" max="6762" width="6.4140625" style="2"/>
    <col min="6763" max="6763" width="6.4140625" style="1"/>
    <col min="6764" max="6764" width="6.4140625" style="2"/>
    <col min="6765" max="6765" width="6.4140625" style="3"/>
    <col min="6766" max="6766" width="6.4140625" style="2"/>
    <col min="6767" max="6767" width="6.4140625" style="3"/>
    <col min="6768" max="6769" width="6.4140625" style="2"/>
    <col min="6770" max="6770" width="6.4140625" style="1"/>
    <col min="6771" max="6771" width="6.4140625" style="2"/>
    <col min="6772" max="6772" width="6.4140625" style="3"/>
    <col min="6773" max="6773" width="6.4140625" style="2"/>
    <col min="6774" max="6774" width="6.4140625" style="3"/>
    <col min="6775" max="6776" width="6.4140625" style="2"/>
    <col min="6777" max="6777" width="6.4140625" style="1"/>
    <col min="6778" max="6778" width="6.4140625" style="2"/>
    <col min="6779" max="6779" width="6.4140625" style="3"/>
    <col min="6780" max="6780" width="6.4140625" style="2"/>
    <col min="6781" max="6781" width="6.4140625" style="3"/>
    <col min="6782" max="6783" width="6.4140625" style="2"/>
    <col min="6784" max="6784" width="6.4140625" style="1"/>
    <col min="6785" max="6785" width="6.4140625" style="2"/>
    <col min="6786" max="6786" width="6.4140625" style="3"/>
    <col min="6787" max="6787" width="6.4140625" style="2"/>
    <col min="6788" max="6788" width="6.4140625" style="3"/>
    <col min="6789" max="6790" width="6.4140625" style="2"/>
    <col min="6791" max="6791" width="6.4140625" style="1"/>
    <col min="6792" max="6792" width="6.4140625" style="2"/>
    <col min="6793" max="6793" width="6.4140625" style="3"/>
    <col min="6794" max="6794" width="6.4140625" style="2"/>
    <col min="6795" max="6795" width="6.4140625" style="3"/>
    <col min="6796" max="6797" width="6.4140625" style="2"/>
    <col min="6798" max="6798" width="6.4140625" style="1"/>
    <col min="6799" max="6799" width="6.4140625" style="2"/>
    <col min="6800" max="6800" width="6.4140625" style="3"/>
    <col min="6801" max="6801" width="6.4140625" style="2"/>
    <col min="6802" max="6802" width="6.4140625" style="3"/>
    <col min="6803" max="6804" width="6.4140625" style="2"/>
    <col min="6805" max="6805" width="6.4140625" style="1"/>
    <col min="6806" max="6806" width="6.4140625" style="2"/>
    <col min="6807" max="6807" width="6.4140625" style="3"/>
    <col min="6808" max="6808" width="6.4140625" style="2"/>
    <col min="6809" max="6809" width="6.4140625" style="3"/>
    <col min="6810" max="6811" width="6.4140625" style="2"/>
    <col min="6812" max="6812" width="6.4140625" style="1"/>
    <col min="6813" max="6813" width="6.4140625" style="2"/>
    <col min="6814" max="6814" width="6.4140625" style="3"/>
    <col min="6815" max="6815" width="6.4140625" style="2"/>
    <col min="6816" max="6816" width="6.4140625" style="3"/>
    <col min="6817" max="6818" width="6.4140625" style="2"/>
    <col min="6819" max="6819" width="6.4140625" style="1"/>
    <col min="6820" max="6820" width="6.4140625" style="2"/>
    <col min="6821" max="6821" width="6.4140625" style="3"/>
    <col min="6822" max="6822" width="6.4140625" style="2"/>
    <col min="6823" max="6823" width="6.4140625" style="3"/>
    <col min="6824" max="6825" width="6.4140625" style="2"/>
    <col min="6826" max="6826" width="6.4140625" style="1"/>
    <col min="6827" max="6827" width="6.4140625" style="2"/>
    <col min="6828" max="6828" width="6.4140625" style="3"/>
    <col min="6829" max="6829" width="6.4140625" style="2"/>
    <col min="6830" max="6830" width="6.4140625" style="3"/>
    <col min="6831" max="6832" width="6.4140625" style="2"/>
    <col min="6833" max="6833" width="6.4140625" style="1"/>
    <col min="6834" max="6834" width="6.4140625" style="2"/>
    <col min="6835" max="6835" width="6.4140625" style="3"/>
    <col min="6836" max="6836" width="6.4140625" style="2"/>
    <col min="6837" max="6837" width="6.4140625" style="3"/>
    <col min="6838" max="6839" width="6.4140625" style="2"/>
    <col min="6840" max="6840" width="6.4140625" style="1"/>
    <col min="6841" max="6841" width="6.4140625" style="2"/>
    <col min="6842" max="6842" width="6.4140625" style="3"/>
    <col min="6843" max="6843" width="6.4140625" style="2"/>
    <col min="6844" max="6844" width="6.4140625" style="3"/>
    <col min="6845" max="6846" width="6.4140625" style="2"/>
    <col min="6847" max="6847" width="6.4140625" style="1"/>
    <col min="6848" max="6848" width="6.4140625" style="2"/>
    <col min="6849" max="6849" width="6.4140625" style="3"/>
    <col min="6850" max="6850" width="6.4140625" style="2"/>
    <col min="6851" max="6851" width="6.4140625" style="3"/>
    <col min="6852" max="6853" width="6.4140625" style="2"/>
    <col min="6854" max="6854" width="6.4140625" style="1"/>
    <col min="6855" max="6855" width="6.4140625" style="2"/>
    <col min="6856" max="6856" width="6.4140625" style="3"/>
    <col min="6857" max="6857" width="6.4140625" style="2"/>
    <col min="6858" max="6858" width="6.4140625" style="3"/>
    <col min="6859" max="6860" width="6.4140625" style="2"/>
    <col min="6861" max="6861" width="6.4140625" style="1"/>
    <col min="6862" max="6862" width="6.4140625" style="2"/>
    <col min="6863" max="6863" width="6.4140625" style="3"/>
    <col min="6864" max="6864" width="6.4140625" style="2"/>
    <col min="6865" max="6865" width="6.4140625" style="3"/>
    <col min="6866" max="6867" width="6.4140625" style="2"/>
    <col min="6868" max="6868" width="6.4140625" style="1"/>
    <col min="6869" max="6869" width="6.4140625" style="2"/>
    <col min="6870" max="6870" width="6.4140625" style="3"/>
    <col min="6871" max="6871" width="6.4140625" style="2"/>
    <col min="6872" max="6872" width="6.4140625" style="3"/>
    <col min="6873" max="6874" width="6.4140625" style="2"/>
    <col min="6875" max="6875" width="6.4140625" style="1"/>
    <col min="6876" max="6876" width="6.4140625" style="2"/>
    <col min="6877" max="6877" width="6.4140625" style="3"/>
    <col min="6878" max="6878" width="6.4140625" style="2"/>
    <col min="6879" max="6879" width="6.4140625" style="3"/>
    <col min="6880" max="6881" width="6.4140625" style="2"/>
    <col min="6882" max="6882" width="6.4140625" style="1"/>
    <col min="6883" max="6883" width="6.4140625" style="2"/>
    <col min="6884" max="6884" width="6.4140625" style="3"/>
    <col min="6885" max="6885" width="6.4140625" style="2"/>
    <col min="6886" max="6886" width="6.4140625" style="3"/>
    <col min="6887" max="6888" width="6.4140625" style="2"/>
    <col min="6889" max="6889" width="6.4140625" style="1"/>
    <col min="6890" max="6890" width="6.4140625" style="2"/>
    <col min="6891" max="6891" width="6.4140625" style="3"/>
    <col min="6892" max="6892" width="6.4140625" style="2"/>
    <col min="6893" max="6893" width="6.4140625" style="3"/>
    <col min="6894" max="6895" width="6.4140625" style="2"/>
    <col min="6896" max="6896" width="6.4140625" style="1"/>
    <col min="6897" max="6897" width="6.4140625" style="2"/>
    <col min="6898" max="6898" width="6.4140625" style="3"/>
    <col min="6899" max="6899" width="6.4140625" style="2"/>
    <col min="6900" max="6900" width="6.4140625" style="3"/>
    <col min="6901" max="6902" width="6.4140625" style="2"/>
    <col min="6903" max="6903" width="6.4140625" style="1"/>
    <col min="6904" max="6904" width="6.4140625" style="2"/>
    <col min="6905" max="6905" width="6.4140625" style="3"/>
    <col min="6906" max="6906" width="6.4140625" style="2"/>
    <col min="6907" max="6907" width="6.4140625" style="3"/>
    <col min="6908" max="6909" width="6.4140625" style="2"/>
    <col min="6910" max="6910" width="6.4140625" style="1"/>
    <col min="6911" max="6911" width="6.4140625" style="2"/>
    <col min="6912" max="6912" width="6.4140625" style="3"/>
    <col min="6913" max="6913" width="6.4140625" style="2"/>
    <col min="6914" max="6914" width="6.4140625" style="3"/>
    <col min="6915" max="6916" width="6.4140625" style="2"/>
    <col min="6917" max="6917" width="6.4140625" style="1"/>
    <col min="6918" max="6918" width="6.4140625" style="2"/>
    <col min="6919" max="6919" width="6.4140625" style="3"/>
    <col min="6920" max="6920" width="6.4140625" style="2"/>
    <col min="6921" max="6921" width="6.4140625" style="3"/>
    <col min="6922" max="6923" width="6.4140625" style="2"/>
    <col min="6924" max="6924" width="6.4140625" style="1"/>
    <col min="6925" max="6925" width="6.4140625" style="2"/>
    <col min="6926" max="6926" width="6.4140625" style="3"/>
    <col min="6927" max="6927" width="6.4140625" style="2"/>
    <col min="6928" max="6928" width="6.4140625" style="3"/>
    <col min="6929" max="6930" width="6.4140625" style="2"/>
    <col min="6931" max="6931" width="6.4140625" style="1"/>
    <col min="6932" max="6932" width="6.4140625" style="2"/>
    <col min="6933" max="6933" width="6.4140625" style="3"/>
    <col min="6934" max="6934" width="6.4140625" style="2"/>
    <col min="6935" max="6935" width="6.4140625" style="3"/>
    <col min="6936" max="6937" width="6.4140625" style="2"/>
    <col min="6938" max="6938" width="6.4140625" style="1"/>
    <col min="6939" max="6939" width="6.4140625" style="2"/>
    <col min="6940" max="6940" width="6.4140625" style="3"/>
    <col min="6941" max="6941" width="6.4140625" style="2"/>
    <col min="6942" max="6942" width="6.4140625" style="3"/>
    <col min="6943" max="6944" width="6.4140625" style="2"/>
    <col min="6945" max="6945" width="6.4140625" style="1"/>
    <col min="6946" max="6946" width="6.4140625" style="2"/>
    <col min="6947" max="6947" width="6.4140625" style="3"/>
    <col min="6948" max="6948" width="6.4140625" style="2"/>
    <col min="6949" max="6949" width="6.4140625" style="3"/>
    <col min="6950" max="6951" width="6.4140625" style="2"/>
    <col min="6952" max="6952" width="6.4140625" style="1"/>
    <col min="6953" max="6953" width="6.4140625" style="2"/>
    <col min="6954" max="6954" width="6.4140625" style="3"/>
    <col min="6955" max="6955" width="6.4140625" style="2"/>
    <col min="6956" max="6956" width="6.4140625" style="3"/>
    <col min="6957" max="6958" width="6.4140625" style="2"/>
    <col min="6959" max="6959" width="6.4140625" style="1"/>
    <col min="6960" max="6960" width="6.4140625" style="2"/>
    <col min="6961" max="6961" width="6.4140625" style="3"/>
    <col min="6962" max="6962" width="6.4140625" style="2"/>
    <col min="6963" max="6963" width="6.4140625" style="3"/>
    <col min="6964" max="6965" width="6.4140625" style="2"/>
    <col min="6966" max="6966" width="6.4140625" style="1"/>
    <col min="6967" max="6967" width="6.4140625" style="2"/>
    <col min="6968" max="6968" width="6.4140625" style="3"/>
    <col min="6969" max="6969" width="6.4140625" style="2"/>
    <col min="6970" max="6970" width="6.4140625" style="3"/>
    <col min="6971" max="6972" width="6.4140625" style="2"/>
    <col min="6973" max="6973" width="6.4140625" style="1"/>
    <col min="6974" max="6974" width="6.4140625" style="2"/>
    <col min="6975" max="6975" width="6.4140625" style="3"/>
    <col min="6976" max="6976" width="6.4140625" style="2"/>
    <col min="6977" max="6977" width="6.4140625" style="3"/>
    <col min="6978" max="6979" width="6.4140625" style="2"/>
    <col min="6980" max="6980" width="6.4140625" style="1"/>
    <col min="6981" max="6981" width="6.4140625" style="2"/>
    <col min="6982" max="6982" width="6.4140625" style="3"/>
    <col min="6983" max="6983" width="6.4140625" style="2"/>
    <col min="6984" max="6984" width="6.4140625" style="3"/>
    <col min="6985" max="6986" width="6.4140625" style="2"/>
    <col min="6987" max="6987" width="6.4140625" style="1"/>
    <col min="6988" max="6988" width="6.4140625" style="2"/>
    <col min="6989" max="6989" width="6.4140625" style="3"/>
    <col min="6990" max="6990" width="6.4140625" style="2"/>
    <col min="6991" max="6991" width="6.4140625" style="3"/>
    <col min="6992" max="6993" width="6.4140625" style="2"/>
    <col min="6994" max="6994" width="6.4140625" style="1"/>
    <col min="6995" max="6995" width="6.4140625" style="2"/>
    <col min="6996" max="6996" width="6.4140625" style="3"/>
    <col min="6997" max="6997" width="6.4140625" style="2"/>
    <col min="6998" max="6998" width="6.4140625" style="3"/>
    <col min="6999" max="7000" width="6.4140625" style="2"/>
    <col min="7001" max="7001" width="6.4140625" style="1"/>
    <col min="7002" max="7002" width="6.4140625" style="2"/>
    <col min="7003" max="7003" width="6.4140625" style="3"/>
    <col min="7004" max="7004" width="6.4140625" style="2"/>
    <col min="7005" max="7005" width="6.4140625" style="3"/>
    <col min="7006" max="7007" width="6.4140625" style="2"/>
    <col min="7008" max="7008" width="6.4140625" style="1"/>
    <col min="7009" max="7009" width="6.4140625" style="2"/>
    <col min="7010" max="7010" width="6.4140625" style="3"/>
    <col min="7011" max="7011" width="6.4140625" style="2"/>
    <col min="7012" max="7012" width="6.4140625" style="3"/>
    <col min="7013" max="7014" width="6.4140625" style="2"/>
    <col min="7015" max="7015" width="6.4140625" style="1"/>
    <col min="7016" max="7016" width="6.4140625" style="2"/>
    <col min="7017" max="7017" width="6.4140625" style="3"/>
    <col min="7018" max="7018" width="6.4140625" style="2"/>
    <col min="7019" max="7019" width="6.4140625" style="3"/>
    <col min="7020" max="7021" width="6.4140625" style="2"/>
    <col min="7022" max="7022" width="6.4140625" style="1"/>
    <col min="7023" max="7023" width="6.4140625" style="2"/>
    <col min="7024" max="7024" width="6.4140625" style="3"/>
    <col min="7025" max="7025" width="6.4140625" style="2"/>
    <col min="7026" max="7026" width="6.4140625" style="3"/>
    <col min="7027" max="7028" width="6.4140625" style="2"/>
    <col min="7029" max="7029" width="6.4140625" style="1"/>
    <col min="7030" max="7030" width="6.4140625" style="2"/>
    <col min="7031" max="7031" width="6.4140625" style="3"/>
    <col min="7032" max="7032" width="6.4140625" style="2"/>
    <col min="7033" max="7033" width="6.4140625" style="3"/>
    <col min="7034" max="7035" width="6.4140625" style="2"/>
    <col min="7036" max="7036" width="6.4140625" style="1"/>
    <col min="7037" max="7037" width="6.4140625" style="2"/>
    <col min="7038" max="7038" width="6.4140625" style="3"/>
    <col min="7039" max="7039" width="6.4140625" style="2"/>
    <col min="7040" max="7040" width="6.4140625" style="3"/>
    <col min="7041" max="7042" width="6.4140625" style="2"/>
    <col min="7043" max="7043" width="6.4140625" style="1"/>
    <col min="7044" max="7044" width="6.4140625" style="2"/>
    <col min="7045" max="7045" width="6.4140625" style="3"/>
    <col min="7046" max="7046" width="6.4140625" style="2"/>
    <col min="7047" max="7047" width="6.4140625" style="3"/>
    <col min="7048" max="7049" width="6.4140625" style="2"/>
    <col min="7050" max="7050" width="6.4140625" style="1"/>
    <col min="7051" max="7051" width="6.4140625" style="2"/>
    <col min="7052" max="7052" width="6.4140625" style="3"/>
    <col min="7053" max="7053" width="6.4140625" style="2"/>
    <col min="7054" max="7054" width="6.4140625" style="3"/>
    <col min="7055" max="7056" width="6.4140625" style="2"/>
    <col min="7057" max="7057" width="6.4140625" style="1"/>
    <col min="7058" max="7058" width="6.4140625" style="2"/>
    <col min="7059" max="7059" width="6.4140625" style="3"/>
    <col min="7060" max="7060" width="6.4140625" style="2"/>
    <col min="7061" max="7061" width="6.4140625" style="3"/>
    <col min="7062" max="7063" width="6.4140625" style="2"/>
    <col min="7064" max="7064" width="6.4140625" style="1"/>
    <col min="7065" max="7065" width="6.4140625" style="2"/>
    <col min="7066" max="7066" width="6.4140625" style="3"/>
    <col min="7067" max="7067" width="6.4140625" style="2"/>
    <col min="7068" max="7068" width="6.4140625" style="3"/>
    <col min="7069" max="7070" width="6.4140625" style="2"/>
    <col min="7071" max="7071" width="6.4140625" style="1"/>
    <col min="7072" max="7072" width="6.4140625" style="2"/>
    <col min="7073" max="7073" width="6.4140625" style="3"/>
    <col min="7074" max="7074" width="6.4140625" style="2"/>
    <col min="7075" max="7075" width="6.4140625" style="3"/>
    <col min="7076" max="7077" width="6.4140625" style="2"/>
    <col min="7078" max="7078" width="6.4140625" style="1"/>
    <col min="7079" max="7079" width="6.4140625" style="2"/>
    <col min="7080" max="7080" width="6.4140625" style="3"/>
    <col min="7081" max="7081" width="6.4140625" style="2"/>
    <col min="7082" max="7082" width="6.4140625" style="3"/>
    <col min="7083" max="7084" width="6.4140625" style="2"/>
    <col min="7085" max="7085" width="6.4140625" style="1"/>
    <col min="7086" max="7086" width="6.4140625" style="2"/>
    <col min="7087" max="7087" width="6.4140625" style="3"/>
    <col min="7088" max="7088" width="6.4140625" style="2"/>
    <col min="7089" max="7089" width="6.4140625" style="3"/>
    <col min="7090" max="7091" width="6.4140625" style="2"/>
    <col min="7092" max="7092" width="6.4140625" style="1"/>
    <col min="7093" max="7093" width="6.4140625" style="2"/>
    <col min="7094" max="7094" width="6.4140625" style="3"/>
    <col min="7095" max="7095" width="6.4140625" style="2"/>
    <col min="7096" max="7096" width="6.4140625" style="3"/>
    <col min="7097" max="7098" width="6.4140625" style="2"/>
    <col min="7099" max="7099" width="6.4140625" style="1"/>
    <col min="7100" max="7100" width="6.4140625" style="2"/>
    <col min="7101" max="7101" width="6.4140625" style="3"/>
    <col min="7102" max="7102" width="6.4140625" style="2"/>
    <col min="7103" max="7103" width="6.4140625" style="3"/>
    <col min="7104" max="7105" width="6.4140625" style="2"/>
    <col min="7106" max="7106" width="6.4140625" style="1"/>
    <col min="7107" max="7107" width="6.4140625" style="2"/>
    <col min="7108" max="7108" width="6.4140625" style="3"/>
    <col min="7109" max="7109" width="6.4140625" style="2"/>
    <col min="7110" max="7110" width="6.4140625" style="3"/>
    <col min="7111" max="7112" width="6.4140625" style="2"/>
    <col min="7113" max="7113" width="6.4140625" style="1"/>
    <col min="7114" max="7114" width="6.4140625" style="2"/>
    <col min="7115" max="7115" width="6.4140625" style="3"/>
    <col min="7116" max="7116" width="6.4140625" style="2"/>
    <col min="7117" max="7117" width="6.4140625" style="3"/>
    <col min="7118" max="7119" width="6.4140625" style="2"/>
    <col min="7120" max="7120" width="6.4140625" style="1"/>
    <col min="7121" max="7121" width="6.4140625" style="2"/>
    <col min="7122" max="7122" width="6.4140625" style="3"/>
    <col min="7123" max="7123" width="6.4140625" style="2"/>
    <col min="7124" max="7124" width="6.4140625" style="3"/>
    <col min="7125" max="7126" width="6.4140625" style="2"/>
    <col min="7127" max="7127" width="6.4140625" style="1"/>
    <col min="7128" max="7128" width="6.4140625" style="2"/>
    <col min="7129" max="7129" width="6.4140625" style="3"/>
    <col min="7130" max="7130" width="6.4140625" style="2"/>
    <col min="7131" max="7131" width="6.4140625" style="3"/>
    <col min="7132" max="7133" width="6.4140625" style="2"/>
    <col min="7134" max="7134" width="6.4140625" style="1"/>
    <col min="7135" max="7135" width="6.4140625" style="2"/>
    <col min="7136" max="7136" width="6.4140625" style="3"/>
    <col min="7137" max="7137" width="6.4140625" style="2"/>
    <col min="7138" max="7138" width="6.4140625" style="3"/>
    <col min="7139" max="7140" width="6.4140625" style="2"/>
    <col min="7141" max="7141" width="6.4140625" style="1"/>
    <col min="7142" max="7142" width="6.4140625" style="2"/>
    <col min="7143" max="7143" width="6.4140625" style="3"/>
    <col min="7144" max="7144" width="6.4140625" style="2"/>
    <col min="7145" max="7145" width="6.4140625" style="3"/>
    <col min="7146" max="7147" width="6.4140625" style="2"/>
    <col min="7148" max="7148" width="6.4140625" style="1"/>
    <col min="7149" max="7149" width="6.4140625" style="2"/>
    <col min="7150" max="7150" width="6.4140625" style="3"/>
    <col min="7151" max="7151" width="6.4140625" style="2"/>
    <col min="7152" max="7152" width="6.4140625" style="3"/>
    <col min="7153" max="7154" width="6.4140625" style="2"/>
    <col min="7155" max="7155" width="6.4140625" style="1"/>
    <col min="7156" max="7156" width="6.4140625" style="2"/>
    <col min="7157" max="7157" width="6.4140625" style="3"/>
    <col min="7158" max="7158" width="6.4140625" style="2"/>
    <col min="7159" max="7159" width="6.4140625" style="3"/>
    <col min="7160" max="7161" width="6.4140625" style="2"/>
    <col min="7162" max="7162" width="6.4140625" style="1"/>
    <col min="7163" max="7163" width="6.4140625" style="2"/>
    <col min="7164" max="7164" width="6.4140625" style="3"/>
    <col min="7165" max="7165" width="6.4140625" style="2"/>
    <col min="7166" max="7166" width="6.4140625" style="3"/>
    <col min="7167" max="7168" width="6.4140625" style="2"/>
    <col min="7169" max="7169" width="6.4140625" style="1"/>
    <col min="7170" max="7170" width="6.4140625" style="2"/>
    <col min="7171" max="7171" width="6.4140625" style="3"/>
    <col min="7172" max="7172" width="6.4140625" style="2"/>
    <col min="7173" max="7173" width="6.4140625" style="3"/>
    <col min="7174" max="7175" width="6.4140625" style="2"/>
    <col min="7176" max="7176" width="6.4140625" style="1"/>
    <col min="7177" max="7177" width="6.4140625" style="2"/>
    <col min="7178" max="7178" width="6.4140625" style="3"/>
    <col min="7179" max="7179" width="6.4140625" style="2"/>
    <col min="7180" max="7180" width="6.4140625" style="3"/>
    <col min="7181" max="7182" width="6.4140625" style="2"/>
    <col min="7183" max="7183" width="6.4140625" style="1"/>
    <col min="7184" max="7184" width="6.4140625" style="2"/>
    <col min="7185" max="7185" width="6.4140625" style="3"/>
    <col min="7186" max="7186" width="6.4140625" style="2"/>
    <col min="7187" max="7187" width="6.4140625" style="3"/>
    <col min="7188" max="7189" width="6.4140625" style="2"/>
    <col min="7190" max="7190" width="6.4140625" style="1"/>
    <col min="7191" max="7191" width="6.4140625" style="2"/>
    <col min="7192" max="7192" width="6.4140625" style="3"/>
    <col min="7193" max="7193" width="6.4140625" style="2"/>
    <col min="7194" max="7194" width="6.4140625" style="3"/>
    <col min="7195" max="7196" width="6.4140625" style="2"/>
    <col min="7197" max="7197" width="6.4140625" style="1"/>
    <col min="7198" max="7198" width="6.4140625" style="2"/>
    <col min="7199" max="7199" width="6.4140625" style="3"/>
    <col min="7200" max="7200" width="6.4140625" style="2"/>
    <col min="7201" max="7201" width="6.4140625" style="3"/>
    <col min="7202" max="7203" width="6.4140625" style="2"/>
    <col min="7204" max="7204" width="6.4140625" style="1"/>
    <col min="7205" max="7205" width="6.4140625" style="2"/>
    <col min="7206" max="7206" width="6.4140625" style="3"/>
    <col min="7207" max="7207" width="6.4140625" style="2"/>
    <col min="7208" max="7208" width="6.4140625" style="3"/>
    <col min="7209" max="7210" width="6.4140625" style="2"/>
    <col min="7211" max="7211" width="6.4140625" style="1"/>
    <col min="7212" max="7212" width="6.4140625" style="2"/>
    <col min="7213" max="7213" width="6.4140625" style="3"/>
    <col min="7214" max="7214" width="6.4140625" style="2"/>
    <col min="7215" max="7215" width="6.4140625" style="3"/>
    <col min="7216" max="7217" width="6.4140625" style="2"/>
    <col min="7218" max="7218" width="6.4140625" style="1"/>
    <col min="7219" max="7219" width="6.4140625" style="2"/>
    <col min="7220" max="7220" width="6.4140625" style="3"/>
    <col min="7221" max="7221" width="6.4140625" style="2"/>
    <col min="7222" max="7222" width="6.4140625" style="3"/>
    <col min="7223" max="7224" width="6.4140625" style="2"/>
    <col min="7225" max="7225" width="6.4140625" style="1"/>
    <col min="7226" max="7226" width="6.4140625" style="2"/>
    <col min="7227" max="7227" width="6.4140625" style="3"/>
    <col min="7228" max="7228" width="6.4140625" style="2"/>
    <col min="7229" max="7229" width="6.4140625" style="3"/>
    <col min="7230" max="7231" width="6.4140625" style="2"/>
    <col min="7232" max="7232" width="6.4140625" style="1"/>
    <col min="7233" max="7233" width="6.4140625" style="2"/>
    <col min="7234" max="7234" width="6.4140625" style="3"/>
    <col min="7235" max="7235" width="6.4140625" style="2"/>
    <col min="7236" max="7236" width="6.4140625" style="3"/>
    <col min="7237" max="7238" width="6.4140625" style="2"/>
    <col min="7239" max="7239" width="6.4140625" style="1"/>
    <col min="7240" max="7240" width="6.4140625" style="2"/>
    <col min="7241" max="7241" width="6.4140625" style="3"/>
    <col min="7242" max="7242" width="6.4140625" style="2"/>
    <col min="7243" max="7243" width="6.4140625" style="3"/>
    <col min="7244" max="7245" width="6.4140625" style="2"/>
    <col min="7246" max="7246" width="6.4140625" style="1"/>
    <col min="7247" max="7247" width="6.4140625" style="2"/>
    <col min="7248" max="7248" width="6.4140625" style="3"/>
    <col min="7249" max="7249" width="6.4140625" style="2"/>
    <col min="7250" max="7250" width="6.4140625" style="3"/>
    <col min="7251" max="7252" width="6.4140625" style="2"/>
    <col min="7253" max="7253" width="6.4140625" style="1"/>
    <col min="7254" max="7254" width="6.4140625" style="2"/>
    <col min="7255" max="7255" width="6.4140625" style="3"/>
    <col min="7256" max="7256" width="6.4140625" style="2"/>
    <col min="7257" max="7257" width="6.4140625" style="3"/>
    <col min="7258" max="7259" width="6.4140625" style="2"/>
    <col min="7260" max="7260" width="6.4140625" style="1"/>
    <col min="7261" max="7261" width="6.4140625" style="2"/>
    <col min="7262" max="7262" width="6.4140625" style="3"/>
    <col min="7263" max="7263" width="6.4140625" style="2"/>
    <col min="7264" max="7264" width="6.4140625" style="3"/>
    <col min="7265" max="7266" width="6.4140625" style="2"/>
    <col min="7267" max="7267" width="6.4140625" style="1"/>
    <col min="7268" max="7268" width="6.4140625" style="2"/>
    <col min="7269" max="7269" width="6.4140625" style="3"/>
    <col min="7270" max="7270" width="6.4140625" style="2"/>
    <col min="7271" max="7271" width="6.4140625" style="3"/>
    <col min="7272" max="7273" width="6.4140625" style="2"/>
    <col min="7274" max="7274" width="6.4140625" style="1"/>
    <col min="7275" max="7275" width="6.4140625" style="2"/>
    <col min="7276" max="7276" width="6.4140625" style="3"/>
    <col min="7277" max="7277" width="6.4140625" style="2"/>
    <col min="7278" max="7278" width="6.4140625" style="3"/>
    <col min="7279" max="7280" width="6.4140625" style="2"/>
    <col min="7281" max="7281" width="6.4140625" style="1"/>
    <col min="7282" max="7282" width="6.4140625" style="2"/>
    <col min="7283" max="7283" width="6.4140625" style="3"/>
    <col min="7284" max="7284" width="6.4140625" style="2"/>
    <col min="7285" max="7285" width="6.4140625" style="3"/>
    <col min="7286" max="7287" width="6.4140625" style="2"/>
    <col min="7288" max="7288" width="6.4140625" style="1"/>
    <col min="7289" max="7289" width="6.4140625" style="2"/>
    <col min="7290" max="7290" width="6.4140625" style="3"/>
    <col min="7291" max="7291" width="6.4140625" style="2"/>
    <col min="7292" max="7292" width="6.4140625" style="3"/>
    <col min="7293" max="7294" width="6.4140625" style="2"/>
    <col min="7295" max="7295" width="6.4140625" style="1"/>
    <col min="7296" max="7296" width="6.4140625" style="2"/>
    <col min="7297" max="7297" width="6.4140625" style="3"/>
    <col min="7298" max="7298" width="6.4140625" style="2"/>
    <col min="7299" max="7299" width="6.4140625" style="3"/>
    <col min="7300" max="7301" width="6.4140625" style="2"/>
    <col min="7302" max="7302" width="6.4140625" style="1"/>
    <col min="7303" max="7303" width="6.4140625" style="2"/>
    <col min="7304" max="7304" width="6.4140625" style="3"/>
    <col min="7305" max="7305" width="6.4140625" style="2"/>
    <col min="7306" max="7306" width="6.4140625" style="3"/>
    <col min="7307" max="7308" width="6.4140625" style="2"/>
    <col min="7309" max="7309" width="6.4140625" style="1"/>
    <col min="7310" max="7310" width="6.4140625" style="2"/>
    <col min="7311" max="7311" width="6.4140625" style="3"/>
    <col min="7312" max="7312" width="6.4140625" style="2"/>
    <col min="7313" max="7313" width="6.4140625" style="3"/>
    <col min="7314" max="7315" width="6.4140625" style="2"/>
    <col min="7316" max="7316" width="6.4140625" style="1"/>
    <col min="7317" max="7317" width="6.4140625" style="2"/>
    <col min="7318" max="7318" width="6.4140625" style="3"/>
    <col min="7319" max="7319" width="6.4140625" style="2"/>
    <col min="7320" max="7320" width="6.4140625" style="3"/>
    <col min="7321" max="7322" width="6.4140625" style="2"/>
    <col min="7323" max="7323" width="6.4140625" style="1"/>
    <col min="7324" max="7324" width="6.4140625" style="2"/>
    <col min="7325" max="7325" width="6.4140625" style="3"/>
    <col min="7326" max="7326" width="6.4140625" style="2"/>
    <col min="7327" max="7327" width="6.4140625" style="3"/>
    <col min="7328" max="7329" width="6.4140625" style="2"/>
    <col min="7330" max="7330" width="6.4140625" style="1"/>
    <col min="7331" max="7331" width="6.4140625" style="2"/>
    <col min="7332" max="7332" width="6.4140625" style="3"/>
    <col min="7333" max="7333" width="6.4140625" style="2"/>
    <col min="7334" max="7334" width="6.4140625" style="3"/>
    <col min="7335" max="7336" width="6.4140625" style="2"/>
    <col min="7337" max="7337" width="6.4140625" style="1"/>
    <col min="7338" max="7338" width="6.4140625" style="2"/>
    <col min="7339" max="7339" width="6.4140625" style="3"/>
    <col min="7340" max="7340" width="6.4140625" style="2"/>
    <col min="7341" max="7341" width="6.4140625" style="3"/>
    <col min="7342" max="7343" width="6.4140625" style="2"/>
    <col min="7344" max="7344" width="6.4140625" style="1"/>
    <col min="7345" max="7345" width="6.4140625" style="2"/>
    <col min="7346" max="7346" width="6.4140625" style="3"/>
    <col min="7347" max="7347" width="6.4140625" style="2"/>
    <col min="7348" max="7348" width="6.4140625" style="3"/>
    <col min="7349" max="7350" width="6.4140625" style="2"/>
    <col min="7351" max="7351" width="6.4140625" style="1"/>
    <col min="7352" max="7352" width="6.4140625" style="2"/>
    <col min="7353" max="7353" width="6.4140625" style="3"/>
    <col min="7354" max="7354" width="6.4140625" style="2"/>
    <col min="7355" max="7355" width="6.4140625" style="3"/>
    <col min="7356" max="7357" width="6.4140625" style="2"/>
    <col min="7358" max="7358" width="6.4140625" style="1"/>
    <col min="7359" max="7359" width="6.4140625" style="2"/>
    <col min="7360" max="7360" width="6.4140625" style="3"/>
    <col min="7361" max="7361" width="6.4140625" style="2"/>
    <col min="7362" max="7362" width="6.4140625" style="3"/>
    <col min="7363" max="7364" width="6.4140625" style="2"/>
    <col min="7365" max="7365" width="6.4140625" style="1"/>
    <col min="7366" max="7366" width="6.4140625" style="2"/>
    <col min="7367" max="7367" width="6.4140625" style="3"/>
    <col min="7368" max="7368" width="6.4140625" style="2"/>
    <col min="7369" max="7369" width="6.4140625" style="3"/>
    <col min="7370" max="7371" width="6.4140625" style="2"/>
    <col min="7372" max="7372" width="6.4140625" style="1"/>
    <col min="7373" max="7373" width="6.4140625" style="2"/>
    <col min="7374" max="7374" width="6.4140625" style="3"/>
    <col min="7375" max="7375" width="6.4140625" style="2"/>
    <col min="7376" max="7376" width="6.4140625" style="3"/>
    <col min="7377" max="7378" width="6.4140625" style="2"/>
    <col min="7379" max="7379" width="6.4140625" style="1"/>
    <col min="7380" max="7380" width="6.4140625" style="2"/>
    <col min="7381" max="7381" width="6.4140625" style="3"/>
    <col min="7382" max="7382" width="6.4140625" style="2"/>
    <col min="7383" max="7383" width="6.4140625" style="3"/>
    <col min="7384" max="7385" width="6.4140625" style="2"/>
    <col min="7386" max="7386" width="6.4140625" style="1"/>
    <col min="7387" max="7387" width="6.4140625" style="2"/>
    <col min="7388" max="7388" width="6.4140625" style="3"/>
    <col min="7389" max="7389" width="6.4140625" style="2"/>
    <col min="7390" max="7390" width="6.4140625" style="3"/>
    <col min="7391" max="7392" width="6.4140625" style="2"/>
    <col min="7393" max="7393" width="6.4140625" style="1"/>
    <col min="7394" max="7394" width="6.4140625" style="2"/>
    <col min="7395" max="7395" width="6.4140625" style="3"/>
    <col min="7396" max="7396" width="6.4140625" style="2"/>
    <col min="7397" max="7397" width="6.4140625" style="3"/>
    <col min="7398" max="7399" width="6.4140625" style="2"/>
    <col min="7400" max="7400" width="6.4140625" style="1"/>
    <col min="7401" max="7401" width="6.4140625" style="2"/>
    <col min="7402" max="7402" width="6.4140625" style="3"/>
    <col min="7403" max="7403" width="6.4140625" style="2"/>
    <col min="7404" max="7404" width="6.4140625" style="3"/>
    <col min="7405" max="7406" width="6.4140625" style="2"/>
    <col min="7407" max="7407" width="6.4140625" style="1"/>
    <col min="7408" max="7408" width="6.4140625" style="2"/>
    <col min="7409" max="7409" width="6.4140625" style="3"/>
    <col min="7410" max="7410" width="6.4140625" style="2"/>
    <col min="7411" max="7411" width="6.4140625" style="3"/>
    <col min="7412" max="7413" width="6.4140625" style="2"/>
    <col min="7414" max="7414" width="6.4140625" style="1"/>
    <col min="7415" max="7415" width="6.4140625" style="2"/>
    <col min="7416" max="7416" width="6.4140625" style="3"/>
    <col min="7417" max="7417" width="6.4140625" style="2"/>
    <col min="7418" max="7418" width="6.4140625" style="3"/>
    <col min="7419" max="7420" width="6.4140625" style="2"/>
    <col min="7421" max="7421" width="6.4140625" style="1"/>
    <col min="7422" max="7422" width="6.4140625" style="2"/>
    <col min="7423" max="7423" width="6.4140625" style="3"/>
    <col min="7424" max="7424" width="6.4140625" style="2"/>
    <col min="7425" max="7425" width="6.4140625" style="3"/>
    <col min="7426" max="7427" width="6.4140625" style="2"/>
    <col min="7428" max="7428" width="6.4140625" style="1"/>
    <col min="7429" max="7429" width="6.4140625" style="2"/>
    <col min="7430" max="7430" width="6.4140625" style="3"/>
    <col min="7431" max="7431" width="6.4140625" style="2"/>
    <col min="7432" max="7432" width="6.4140625" style="3"/>
    <col min="7433" max="7434" width="6.4140625" style="2"/>
    <col min="7435" max="7435" width="6.4140625" style="1"/>
    <col min="7436" max="7436" width="6.4140625" style="2"/>
    <col min="7437" max="7437" width="6.4140625" style="3"/>
    <col min="7438" max="7438" width="6.4140625" style="2"/>
    <col min="7439" max="7439" width="6.4140625" style="3"/>
    <col min="7440" max="7441" width="6.4140625" style="2"/>
    <col min="7442" max="7442" width="6.4140625" style="1"/>
    <col min="7443" max="7443" width="6.4140625" style="2"/>
    <col min="7444" max="7444" width="6.4140625" style="3"/>
    <col min="7445" max="7445" width="6.4140625" style="2"/>
    <col min="7446" max="7446" width="6.4140625" style="3"/>
    <col min="7447" max="7448" width="6.4140625" style="2"/>
    <col min="7449" max="7449" width="6.4140625" style="1"/>
    <col min="7450" max="7450" width="6.4140625" style="2"/>
    <col min="7451" max="7451" width="6.4140625" style="3"/>
    <col min="7452" max="7452" width="6.4140625" style="2"/>
    <col min="7453" max="7453" width="6.4140625" style="3"/>
    <col min="7454" max="7455" width="6.4140625" style="2"/>
    <col min="7456" max="7456" width="6.4140625" style="1"/>
    <col min="7457" max="7457" width="6.4140625" style="2"/>
    <col min="7458" max="7458" width="6.4140625" style="3"/>
    <col min="7459" max="7459" width="6.4140625" style="2"/>
    <col min="7460" max="7460" width="6.4140625" style="3"/>
    <col min="7461" max="7462" width="6.4140625" style="2"/>
    <col min="7463" max="7463" width="6.4140625" style="1"/>
    <col min="7464" max="7464" width="6.4140625" style="2"/>
    <col min="7465" max="7465" width="6.4140625" style="3"/>
    <col min="7466" max="7466" width="6.4140625" style="2"/>
    <col min="7467" max="7467" width="6.4140625" style="3"/>
    <col min="7468" max="7469" width="6.4140625" style="2"/>
    <col min="7470" max="7470" width="6.4140625" style="1"/>
    <col min="7471" max="7471" width="6.4140625" style="2"/>
    <col min="7472" max="7472" width="6.4140625" style="3"/>
    <col min="7473" max="7473" width="6.4140625" style="2"/>
    <col min="7474" max="7474" width="6.4140625" style="3"/>
    <col min="7475" max="7476" width="6.4140625" style="2"/>
    <col min="7477" max="7477" width="6.4140625" style="1"/>
    <col min="7478" max="7478" width="6.4140625" style="2"/>
    <col min="7479" max="7479" width="6.4140625" style="3"/>
    <col min="7480" max="7480" width="6.4140625" style="2"/>
    <col min="7481" max="7481" width="6.4140625" style="3"/>
    <col min="7482" max="7483" width="6.4140625" style="2"/>
    <col min="7484" max="7484" width="6.4140625" style="1"/>
    <col min="7485" max="7485" width="6.4140625" style="2"/>
    <col min="7486" max="7486" width="6.4140625" style="3"/>
    <col min="7487" max="7487" width="6.4140625" style="2"/>
    <col min="7488" max="7488" width="6.4140625" style="3"/>
    <col min="7489" max="7490" width="6.4140625" style="2"/>
    <col min="7491" max="7491" width="6.4140625" style="1"/>
    <col min="7492" max="7492" width="6.4140625" style="2"/>
    <col min="7493" max="7493" width="6.4140625" style="3"/>
    <col min="7494" max="7494" width="6.4140625" style="2"/>
    <col min="7495" max="7495" width="6.4140625" style="3"/>
    <col min="7496" max="7497" width="6.4140625" style="2"/>
    <col min="7498" max="7498" width="6.4140625" style="1"/>
    <col min="7499" max="7499" width="6.4140625" style="2"/>
    <col min="7500" max="7500" width="6.4140625" style="3"/>
    <col min="7501" max="7501" width="6.4140625" style="2"/>
    <col min="7502" max="7502" width="6.4140625" style="3"/>
    <col min="7503" max="7504" width="6.4140625" style="2"/>
    <col min="7505" max="7505" width="6.4140625" style="1"/>
    <col min="7506" max="7506" width="6.4140625" style="2"/>
    <col min="7507" max="7507" width="6.4140625" style="3"/>
    <col min="7508" max="7508" width="6.4140625" style="2"/>
    <col min="7509" max="7509" width="6.4140625" style="3"/>
    <col min="7510" max="7511" width="6.4140625" style="2"/>
    <col min="7512" max="7512" width="6.4140625" style="1"/>
    <col min="7513" max="7513" width="6.4140625" style="2"/>
    <col min="7514" max="7514" width="6.4140625" style="3"/>
    <col min="7515" max="7515" width="6.4140625" style="2"/>
    <col min="7516" max="7516" width="6.4140625" style="3"/>
    <col min="7517" max="7518" width="6.4140625" style="2"/>
    <col min="7519" max="7519" width="6.4140625" style="1"/>
    <col min="7520" max="7520" width="6.4140625" style="2"/>
    <col min="7521" max="7521" width="6.4140625" style="3"/>
    <col min="7522" max="7522" width="6.4140625" style="2"/>
    <col min="7523" max="7523" width="6.4140625" style="3"/>
    <col min="7524" max="7525" width="6.4140625" style="2"/>
    <col min="7526" max="7526" width="6.4140625" style="1"/>
    <col min="7527" max="7527" width="6.4140625" style="2"/>
    <col min="7528" max="7528" width="6.4140625" style="3"/>
    <col min="7529" max="7529" width="6.4140625" style="2"/>
    <col min="7530" max="7530" width="6.4140625" style="3"/>
    <col min="7531" max="7532" width="6.4140625" style="2"/>
    <col min="7533" max="7533" width="6.4140625" style="1"/>
    <col min="7534" max="7534" width="6.4140625" style="2"/>
    <col min="7535" max="7535" width="6.4140625" style="3"/>
    <col min="7536" max="7536" width="6.4140625" style="2"/>
    <col min="7537" max="7537" width="6.4140625" style="3"/>
    <col min="7538" max="7539" width="6.4140625" style="2"/>
    <col min="7540" max="7540" width="6.4140625" style="1"/>
    <col min="7541" max="7541" width="6.4140625" style="2"/>
    <col min="7542" max="7542" width="6.4140625" style="3"/>
    <col min="7543" max="7543" width="6.4140625" style="2"/>
    <col min="7544" max="7544" width="6.4140625" style="3"/>
    <col min="7545" max="7546" width="6.4140625" style="2"/>
    <col min="7547" max="7547" width="6.4140625" style="1"/>
    <col min="7548" max="7548" width="6.4140625" style="2"/>
    <col min="7549" max="7549" width="6.4140625" style="3"/>
    <col min="7550" max="7550" width="6.4140625" style="2"/>
    <col min="7551" max="7551" width="6.4140625" style="3"/>
    <col min="7552" max="7553" width="6.4140625" style="2"/>
    <col min="7554" max="7554" width="6.4140625" style="1"/>
    <col min="7555" max="7555" width="6.4140625" style="2"/>
    <col min="7556" max="7556" width="6.4140625" style="3"/>
    <col min="7557" max="7557" width="6.4140625" style="2"/>
    <col min="7558" max="7558" width="6.4140625" style="3"/>
    <col min="7559" max="7560" width="6.4140625" style="2"/>
    <col min="7561" max="7561" width="6.4140625" style="1"/>
    <col min="7562" max="7562" width="6.4140625" style="2"/>
    <col min="7563" max="7563" width="6.4140625" style="3"/>
    <col min="7564" max="7564" width="6.4140625" style="2"/>
    <col min="7565" max="7565" width="6.4140625" style="3"/>
    <col min="7566" max="7567" width="6.4140625" style="2"/>
    <col min="7568" max="7568" width="6.4140625" style="1"/>
    <col min="7569" max="7569" width="6.4140625" style="2"/>
    <col min="7570" max="7570" width="6.4140625" style="3"/>
    <col min="7571" max="7571" width="6.4140625" style="2"/>
    <col min="7572" max="7572" width="6.4140625" style="3"/>
    <col min="7573" max="7574" width="6.4140625" style="2"/>
    <col min="7575" max="7575" width="6.4140625" style="1"/>
    <col min="7576" max="7576" width="6.4140625" style="2"/>
    <col min="7577" max="7577" width="6.4140625" style="3"/>
    <col min="7578" max="7578" width="6.4140625" style="2"/>
    <col min="7579" max="7579" width="6.4140625" style="3"/>
    <col min="7580" max="7581" width="6.4140625" style="2"/>
    <col min="7582" max="7582" width="6.4140625" style="1"/>
    <col min="7583" max="7583" width="6.4140625" style="2"/>
    <col min="7584" max="7584" width="6.4140625" style="3"/>
    <col min="7585" max="7585" width="6.4140625" style="2"/>
    <col min="7586" max="7586" width="6.4140625" style="3"/>
    <col min="7587" max="7588" width="6.4140625" style="2"/>
    <col min="7589" max="7589" width="6.4140625" style="1"/>
    <col min="7590" max="7590" width="6.4140625" style="2"/>
    <col min="7591" max="7591" width="6.4140625" style="3"/>
    <col min="7592" max="7592" width="6.4140625" style="2"/>
    <col min="7593" max="7593" width="6.4140625" style="3"/>
    <col min="7594" max="7595" width="6.4140625" style="2"/>
    <col min="7596" max="7596" width="6.4140625" style="1"/>
    <col min="7597" max="7597" width="6.4140625" style="2"/>
    <col min="7598" max="7598" width="6.4140625" style="3"/>
    <col min="7599" max="7599" width="6.4140625" style="2"/>
    <col min="7600" max="7600" width="6.4140625" style="3"/>
    <col min="7601" max="7602" width="6.4140625" style="2"/>
    <col min="7603" max="7603" width="6.4140625" style="1"/>
    <col min="7604" max="7604" width="6.4140625" style="2"/>
    <col min="7605" max="7605" width="6.4140625" style="3"/>
    <col min="7606" max="7606" width="6.4140625" style="2"/>
    <col min="7607" max="7607" width="6.4140625" style="3"/>
    <col min="7608" max="7609" width="6.4140625" style="2"/>
    <col min="7610" max="7610" width="6.4140625" style="1"/>
    <col min="7611" max="7611" width="6.4140625" style="2"/>
    <col min="7612" max="7612" width="6.4140625" style="3"/>
    <col min="7613" max="7613" width="6.4140625" style="2"/>
    <col min="7614" max="7614" width="6.4140625" style="3"/>
    <col min="7615" max="7616" width="6.4140625" style="2"/>
    <col min="7617" max="7617" width="6.4140625" style="1"/>
    <col min="7618" max="7618" width="6.4140625" style="2"/>
    <col min="7619" max="7619" width="6.4140625" style="3"/>
    <col min="7620" max="7620" width="6.4140625" style="2"/>
    <col min="7621" max="7621" width="6.4140625" style="3"/>
    <col min="7622" max="7623" width="6.4140625" style="2"/>
    <col min="7624" max="7624" width="6.4140625" style="1"/>
    <col min="7625" max="7625" width="6.4140625" style="2"/>
    <col min="7626" max="7626" width="6.4140625" style="3"/>
    <col min="7627" max="7627" width="6.4140625" style="2"/>
    <col min="7628" max="7628" width="6.4140625" style="3"/>
    <col min="7629" max="7630" width="6.4140625" style="2"/>
    <col min="7631" max="7631" width="6.4140625" style="1"/>
    <col min="7632" max="7632" width="6.4140625" style="2"/>
    <col min="7633" max="7633" width="6.4140625" style="3"/>
    <col min="7634" max="7634" width="6.4140625" style="2"/>
    <col min="7635" max="7635" width="6.4140625" style="3"/>
    <col min="7636" max="7637" width="6.4140625" style="2"/>
    <col min="7638" max="7638" width="6.4140625" style="1"/>
    <col min="7639" max="7639" width="6.4140625" style="2"/>
    <col min="7640" max="7640" width="6.4140625" style="3"/>
    <col min="7641" max="7641" width="6.4140625" style="2"/>
    <col min="7642" max="7642" width="6.4140625" style="3"/>
    <col min="7643" max="7644" width="6.4140625" style="2"/>
    <col min="7645" max="7645" width="6.4140625" style="1"/>
    <col min="7646" max="7646" width="6.4140625" style="2"/>
    <col min="7647" max="7647" width="6.4140625" style="3"/>
    <col min="7648" max="7648" width="6.4140625" style="2"/>
    <col min="7649" max="7649" width="6.4140625" style="3"/>
    <col min="7650" max="7651" width="6.4140625" style="2"/>
    <col min="7652" max="7652" width="6.4140625" style="1"/>
    <col min="7653" max="7653" width="6.4140625" style="2"/>
    <col min="7654" max="7654" width="6.4140625" style="3"/>
    <col min="7655" max="7655" width="6.4140625" style="2"/>
    <col min="7656" max="7656" width="6.4140625" style="3"/>
    <col min="7657" max="7658" width="6.4140625" style="2"/>
    <col min="7659" max="7659" width="6.4140625" style="1"/>
    <col min="7660" max="7660" width="6.4140625" style="2"/>
    <col min="7661" max="7661" width="6.4140625" style="3"/>
    <col min="7662" max="7662" width="6.4140625" style="2"/>
    <col min="7663" max="7663" width="6.4140625" style="3"/>
    <col min="7664" max="7665" width="6.4140625" style="2"/>
    <col min="7666" max="7666" width="6.4140625" style="1"/>
    <col min="7667" max="7667" width="6.4140625" style="2"/>
    <col min="7668" max="7668" width="6.4140625" style="3"/>
    <col min="7669" max="7669" width="6.4140625" style="2"/>
    <col min="7670" max="7670" width="6.4140625" style="3"/>
    <col min="7671" max="7672" width="6.4140625" style="2"/>
    <col min="7673" max="7673" width="6.4140625" style="1"/>
    <col min="7674" max="7674" width="6.4140625" style="2"/>
    <col min="7675" max="7675" width="6.4140625" style="3"/>
    <col min="7676" max="7676" width="6.4140625" style="2"/>
    <col min="7677" max="7677" width="6.4140625" style="3"/>
    <col min="7678" max="7679" width="6.4140625" style="2"/>
    <col min="7680" max="7680" width="6.4140625" style="1"/>
    <col min="7681" max="7681" width="6.4140625" style="2"/>
    <col min="7682" max="7682" width="6.4140625" style="3"/>
    <col min="7683" max="7683" width="6.4140625" style="2"/>
    <col min="7684" max="7684" width="6.4140625" style="3"/>
    <col min="7685" max="7686" width="6.4140625" style="2"/>
    <col min="7687" max="7687" width="6.4140625" style="1"/>
    <col min="7688" max="7688" width="6.4140625" style="2"/>
    <col min="7689" max="7689" width="6.4140625" style="3"/>
    <col min="7690" max="7690" width="6.4140625" style="2"/>
    <col min="7691" max="7691" width="6.4140625" style="3"/>
    <col min="7692" max="7693" width="6.4140625" style="2"/>
    <col min="7694" max="7694" width="6.4140625" style="1"/>
    <col min="7695" max="7695" width="6.4140625" style="2"/>
    <col min="7696" max="7696" width="6.4140625" style="3"/>
    <col min="7697" max="7697" width="6.4140625" style="2"/>
    <col min="7698" max="7698" width="6.4140625" style="3"/>
    <col min="7699" max="7700" width="6.4140625" style="2"/>
    <col min="7701" max="7701" width="6.4140625" style="1"/>
    <col min="7702" max="7702" width="6.4140625" style="2"/>
    <col min="7703" max="7703" width="6.4140625" style="3"/>
    <col min="7704" max="7704" width="6.4140625" style="2"/>
    <col min="7705" max="7705" width="6.4140625" style="3"/>
    <col min="7706" max="7707" width="6.4140625" style="2"/>
    <col min="7708" max="7708" width="6.4140625" style="1"/>
    <col min="7709" max="7709" width="6.4140625" style="2"/>
    <col min="7710" max="7710" width="6.4140625" style="3"/>
    <col min="7711" max="7711" width="6.4140625" style="2"/>
    <col min="7712" max="7712" width="6.4140625" style="3"/>
    <col min="7713" max="7714" width="6.4140625" style="2"/>
    <col min="7715" max="7715" width="6.4140625" style="1"/>
    <col min="7716" max="7716" width="6.4140625" style="2"/>
    <col min="7717" max="7717" width="6.4140625" style="3"/>
    <col min="7718" max="7718" width="6.4140625" style="2"/>
    <col min="7719" max="7719" width="6.4140625" style="3"/>
    <col min="7720" max="7721" width="6.4140625" style="2"/>
    <col min="7722" max="7722" width="6.4140625" style="1"/>
    <col min="7723" max="7723" width="6.4140625" style="2"/>
    <col min="7724" max="7724" width="6.4140625" style="3"/>
    <col min="7725" max="7725" width="6.4140625" style="2"/>
    <col min="7726" max="7726" width="6.4140625" style="3"/>
    <col min="7727" max="7728" width="6.4140625" style="2"/>
    <col min="7729" max="7729" width="6.4140625" style="1"/>
    <col min="7730" max="7730" width="6.4140625" style="2"/>
    <col min="7731" max="7731" width="6.4140625" style="3"/>
    <col min="7732" max="7732" width="6.4140625" style="2"/>
    <col min="7733" max="7733" width="6.4140625" style="3"/>
    <col min="7734" max="7735" width="6.4140625" style="2"/>
    <col min="7736" max="7736" width="6.4140625" style="1"/>
    <col min="7737" max="7737" width="6.4140625" style="2"/>
    <col min="7738" max="7738" width="6.4140625" style="3"/>
    <col min="7739" max="7739" width="6.4140625" style="2"/>
    <col min="7740" max="7740" width="6.4140625" style="3"/>
    <col min="7741" max="7742" width="6.4140625" style="2"/>
    <col min="7743" max="7743" width="6.4140625" style="1"/>
    <col min="7744" max="7744" width="6.4140625" style="2"/>
    <col min="7745" max="7745" width="6.4140625" style="3"/>
    <col min="7746" max="7746" width="6.4140625" style="2"/>
    <col min="7747" max="7747" width="6.4140625" style="3"/>
    <col min="7748" max="7749" width="6.4140625" style="2"/>
    <col min="7750" max="7750" width="6.4140625" style="1"/>
    <col min="7751" max="7751" width="6.4140625" style="2"/>
    <col min="7752" max="7752" width="6.4140625" style="3"/>
    <col min="7753" max="7753" width="6.4140625" style="2"/>
    <col min="7754" max="7754" width="6.4140625" style="3"/>
    <col min="7755" max="7756" width="6.4140625" style="2"/>
    <col min="7757" max="7757" width="6.4140625" style="1"/>
    <col min="7758" max="7758" width="6.4140625" style="2"/>
    <col min="7759" max="7759" width="6.4140625" style="3"/>
    <col min="7760" max="7760" width="6.4140625" style="2"/>
    <col min="7761" max="7761" width="6.4140625" style="3"/>
    <col min="7762" max="7763" width="6.4140625" style="2"/>
    <col min="7764" max="7764" width="6.4140625" style="1"/>
    <col min="7765" max="7765" width="6.4140625" style="2"/>
    <col min="7766" max="7766" width="6.4140625" style="3"/>
    <col min="7767" max="7767" width="6.4140625" style="2"/>
    <col min="7768" max="7768" width="6.4140625" style="3"/>
    <col min="7769" max="7770" width="6.4140625" style="2"/>
    <col min="7771" max="7771" width="6.4140625" style="1"/>
    <col min="7772" max="7772" width="6.4140625" style="2"/>
    <col min="7773" max="7773" width="6.4140625" style="3"/>
    <col min="7774" max="7774" width="6.4140625" style="2"/>
    <col min="7775" max="7775" width="6.4140625" style="3"/>
    <col min="7776" max="7777" width="6.4140625" style="2"/>
    <col min="7778" max="7778" width="6.4140625" style="1"/>
    <col min="7779" max="7779" width="6.4140625" style="2"/>
    <col min="7780" max="7780" width="6.4140625" style="3"/>
    <col min="7781" max="7781" width="6.4140625" style="2"/>
    <col min="7782" max="7782" width="6.4140625" style="3"/>
    <col min="7783" max="7784" width="6.4140625" style="2"/>
    <col min="7785" max="7785" width="6.4140625" style="1"/>
    <col min="7786" max="7786" width="6.4140625" style="2"/>
    <col min="7787" max="7787" width="6.4140625" style="3"/>
    <col min="7788" max="7788" width="6.4140625" style="2"/>
    <col min="7789" max="7789" width="6.4140625" style="3"/>
    <col min="7790" max="7791" width="6.4140625" style="2"/>
    <col min="7792" max="7792" width="6.4140625" style="1"/>
    <col min="7793" max="7793" width="6.4140625" style="2"/>
    <col min="7794" max="7794" width="6.4140625" style="3"/>
    <col min="7795" max="7795" width="6.4140625" style="2"/>
    <col min="7796" max="7796" width="6.4140625" style="3"/>
    <col min="7797" max="7798" width="6.4140625" style="2"/>
    <col min="7799" max="7799" width="6.4140625" style="1"/>
    <col min="7800" max="7800" width="6.4140625" style="2"/>
    <col min="7801" max="7801" width="6.4140625" style="3"/>
    <col min="7802" max="7802" width="6.4140625" style="2"/>
    <col min="7803" max="7803" width="6.4140625" style="3"/>
    <col min="7804" max="7805" width="6.4140625" style="2"/>
    <col min="7806" max="7806" width="6.4140625" style="1"/>
    <col min="7807" max="7807" width="6.4140625" style="2"/>
    <col min="7808" max="7808" width="6.4140625" style="3"/>
    <col min="7809" max="7809" width="6.4140625" style="2"/>
    <col min="7810" max="7810" width="6.4140625" style="3"/>
    <col min="7811" max="7812" width="6.4140625" style="2"/>
    <col min="7813" max="7813" width="6.4140625" style="1"/>
    <col min="7814" max="7814" width="6.4140625" style="2"/>
    <col min="7815" max="7815" width="6.4140625" style="3"/>
    <col min="7816" max="7816" width="6.4140625" style="2"/>
    <col min="7817" max="7817" width="6.4140625" style="3"/>
    <col min="7818" max="7819" width="6.4140625" style="2"/>
    <col min="7820" max="7820" width="6.4140625" style="1"/>
    <col min="7821" max="7821" width="6.4140625" style="2"/>
    <col min="7822" max="7822" width="6.4140625" style="3"/>
    <col min="7823" max="7823" width="6.4140625" style="2"/>
    <col min="7824" max="7824" width="6.4140625" style="3"/>
    <col min="7825" max="7826" width="6.4140625" style="2"/>
    <col min="7827" max="7827" width="6.4140625" style="1"/>
    <col min="7828" max="7828" width="6.4140625" style="2"/>
    <col min="7829" max="7829" width="6.4140625" style="3"/>
    <col min="7830" max="7830" width="6.4140625" style="2"/>
    <col min="7831" max="7831" width="6.4140625" style="3"/>
    <col min="7832" max="7833" width="6.4140625" style="2"/>
    <col min="7834" max="7834" width="6.4140625" style="1"/>
    <col min="7835" max="7835" width="6.4140625" style="2"/>
    <col min="7836" max="7836" width="6.4140625" style="3"/>
    <col min="7837" max="7837" width="6.4140625" style="2"/>
    <col min="7838" max="7838" width="6.4140625" style="3"/>
    <col min="7839" max="7840" width="6.4140625" style="2"/>
    <col min="7841" max="7841" width="6.4140625" style="1"/>
    <col min="7842" max="7842" width="6.4140625" style="2"/>
    <col min="7843" max="7843" width="6.4140625" style="3"/>
    <col min="7844" max="7844" width="6.4140625" style="2"/>
    <col min="7845" max="7845" width="6.4140625" style="3"/>
    <col min="7846" max="7847" width="6.4140625" style="2"/>
    <col min="7848" max="7848" width="6.4140625" style="1"/>
    <col min="7849" max="7849" width="6.4140625" style="2"/>
    <col min="7850" max="7850" width="6.4140625" style="3"/>
    <col min="7851" max="7851" width="6.4140625" style="2"/>
    <col min="7852" max="7852" width="6.4140625" style="3"/>
    <col min="7853" max="7854" width="6.4140625" style="2"/>
    <col min="7855" max="7855" width="6.4140625" style="1"/>
    <col min="7856" max="7856" width="6.4140625" style="2"/>
    <col min="7857" max="7857" width="6.4140625" style="3"/>
    <col min="7858" max="7858" width="6.4140625" style="2"/>
    <col min="7859" max="7859" width="6.4140625" style="3"/>
    <col min="7860" max="7861" width="6.4140625" style="2"/>
    <col min="7862" max="7862" width="6.4140625" style="1"/>
    <col min="7863" max="7863" width="6.4140625" style="2"/>
    <col min="7864" max="7864" width="6.4140625" style="3"/>
    <col min="7865" max="7865" width="6.4140625" style="2"/>
    <col min="7866" max="7866" width="6.4140625" style="3"/>
    <col min="7867" max="7868" width="6.4140625" style="2"/>
    <col min="7869" max="7869" width="6.4140625" style="1"/>
    <col min="7870" max="7870" width="6.4140625" style="2"/>
    <col min="7871" max="7871" width="6.4140625" style="3"/>
    <col min="7872" max="7872" width="6.4140625" style="2"/>
    <col min="7873" max="7873" width="6.4140625" style="3"/>
    <col min="7874" max="7875" width="6.4140625" style="2"/>
    <col min="7876" max="7876" width="6.4140625" style="1"/>
    <col min="7877" max="7877" width="6.4140625" style="2"/>
    <col min="7878" max="7878" width="6.4140625" style="3"/>
    <col min="7879" max="7879" width="6.4140625" style="2"/>
    <col min="7880" max="7880" width="6.4140625" style="3"/>
    <col min="7881" max="7882" width="6.4140625" style="2"/>
    <col min="7883" max="7883" width="6.4140625" style="1"/>
    <col min="7884" max="7884" width="6.4140625" style="2"/>
    <col min="7885" max="7885" width="6.4140625" style="3"/>
    <col min="7886" max="7886" width="6.4140625" style="2"/>
    <col min="7887" max="7887" width="6.4140625" style="3"/>
    <col min="7888" max="7889" width="6.4140625" style="2"/>
    <col min="7890" max="7890" width="6.4140625" style="1"/>
    <col min="7891" max="7891" width="6.4140625" style="2"/>
    <col min="7892" max="7892" width="6.4140625" style="3"/>
    <col min="7893" max="7893" width="6.4140625" style="2"/>
    <col min="7894" max="7894" width="6.4140625" style="3"/>
    <col min="7895" max="7896" width="6.4140625" style="2"/>
    <col min="7897" max="7897" width="6.4140625" style="1"/>
    <col min="7898" max="7898" width="6.4140625" style="2"/>
    <col min="7899" max="7899" width="6.4140625" style="3"/>
    <col min="7900" max="7900" width="6.4140625" style="2"/>
    <col min="7901" max="7901" width="6.4140625" style="3"/>
    <col min="7902" max="7903" width="6.4140625" style="2"/>
    <col min="7904" max="7904" width="6.4140625" style="1"/>
    <col min="7905" max="7905" width="6.4140625" style="2"/>
    <col min="7906" max="7906" width="6.4140625" style="3"/>
    <col min="7907" max="7907" width="6.4140625" style="2"/>
    <col min="7908" max="7908" width="6.4140625" style="3"/>
    <col min="7909" max="7910" width="6.4140625" style="2"/>
    <col min="7911" max="7911" width="6.4140625" style="1"/>
    <col min="7912" max="7912" width="6.4140625" style="2"/>
    <col min="7913" max="7913" width="6.4140625" style="3"/>
    <col min="7914" max="7914" width="6.4140625" style="2"/>
    <col min="7915" max="7915" width="6.4140625" style="3"/>
    <col min="7916" max="7917" width="6.4140625" style="2"/>
    <col min="7918" max="7918" width="6.4140625" style="1"/>
    <col min="7919" max="7919" width="6.4140625" style="2"/>
    <col min="7920" max="7920" width="6.4140625" style="3"/>
    <col min="7921" max="7921" width="6.4140625" style="2"/>
    <col min="7922" max="7922" width="6.4140625" style="3"/>
    <col min="7923" max="7924" width="6.4140625" style="2"/>
    <col min="7925" max="7925" width="6.4140625" style="1"/>
    <col min="7926" max="7926" width="6.4140625" style="2"/>
    <col min="7927" max="7927" width="6.4140625" style="3"/>
    <col min="7928" max="7928" width="6.4140625" style="2"/>
    <col min="7929" max="7929" width="6.4140625" style="3"/>
    <col min="7930" max="7931" width="6.4140625" style="2"/>
    <col min="7932" max="7932" width="6.4140625" style="1"/>
    <col min="7933" max="7933" width="6.4140625" style="2"/>
    <col min="7934" max="7934" width="6.4140625" style="3"/>
    <col min="7935" max="7935" width="6.4140625" style="2"/>
    <col min="7936" max="7936" width="6.4140625" style="3"/>
    <col min="7937" max="7938" width="6.4140625" style="2"/>
    <col min="7939" max="7939" width="6.4140625" style="1"/>
    <col min="7940" max="7940" width="6.4140625" style="2"/>
    <col min="7941" max="7941" width="6.4140625" style="3"/>
    <col min="7942" max="7942" width="6.4140625" style="2"/>
    <col min="7943" max="7943" width="6.4140625" style="3"/>
    <col min="7944" max="7945" width="6.4140625" style="2"/>
    <col min="7946" max="7946" width="6.4140625" style="1"/>
    <col min="7947" max="7947" width="6.4140625" style="2"/>
    <col min="7948" max="7948" width="6.4140625" style="3"/>
    <col min="7949" max="7949" width="6.4140625" style="2"/>
    <col min="7950" max="7950" width="6.4140625" style="3"/>
    <col min="7951" max="7952" width="6.4140625" style="2"/>
    <col min="7953" max="7953" width="6.4140625" style="1"/>
    <col min="7954" max="7954" width="6.4140625" style="2"/>
    <col min="7955" max="7955" width="6.4140625" style="3"/>
    <col min="7956" max="7956" width="6.4140625" style="2"/>
    <col min="7957" max="7957" width="6.4140625" style="3"/>
    <col min="7958" max="7959" width="6.4140625" style="2"/>
    <col min="7960" max="7960" width="6.4140625" style="1"/>
    <col min="7961" max="7961" width="6.4140625" style="2"/>
    <col min="7962" max="7962" width="6.4140625" style="3"/>
    <col min="7963" max="7963" width="6.4140625" style="2"/>
    <col min="7964" max="7964" width="6.4140625" style="3"/>
    <col min="7965" max="7966" width="6.4140625" style="2"/>
    <col min="7967" max="7967" width="6.4140625" style="1"/>
    <col min="7968" max="7968" width="6.4140625" style="2"/>
    <col min="7969" max="7969" width="6.4140625" style="3"/>
    <col min="7970" max="7970" width="6.4140625" style="2"/>
    <col min="7971" max="7971" width="6.4140625" style="3"/>
    <col min="7972" max="7973" width="6.4140625" style="2"/>
    <col min="7974" max="7974" width="6.4140625" style="1"/>
    <col min="7975" max="7975" width="6.4140625" style="2"/>
    <col min="7976" max="7976" width="6.4140625" style="3"/>
    <col min="7977" max="7977" width="6.4140625" style="2"/>
    <col min="7978" max="7978" width="6.4140625" style="3"/>
    <col min="7979" max="7980" width="6.4140625" style="2"/>
    <col min="7981" max="7981" width="6.4140625" style="1"/>
    <col min="7982" max="7982" width="6.4140625" style="2"/>
    <col min="7983" max="7983" width="6.4140625" style="3"/>
    <col min="7984" max="7984" width="6.4140625" style="2"/>
    <col min="7985" max="7985" width="6.4140625" style="3"/>
    <col min="7986" max="7987" width="6.4140625" style="2"/>
    <col min="7988" max="7988" width="6.4140625" style="1"/>
    <col min="7989" max="7989" width="6.4140625" style="2"/>
    <col min="7990" max="7990" width="6.4140625" style="3"/>
    <col min="7991" max="7991" width="6.4140625" style="2"/>
    <col min="7992" max="7992" width="6.4140625" style="3"/>
    <col min="7993" max="7994" width="6.4140625" style="2"/>
    <col min="7995" max="7995" width="6.4140625" style="1"/>
    <col min="7996" max="7996" width="6.4140625" style="2"/>
    <col min="7997" max="7997" width="6.4140625" style="3"/>
    <col min="7998" max="7998" width="6.4140625" style="2"/>
    <col min="7999" max="7999" width="6.4140625" style="3"/>
    <col min="8000" max="8001" width="6.4140625" style="2"/>
    <col min="8002" max="8002" width="6.4140625" style="1"/>
    <col min="8003" max="8003" width="6.4140625" style="2"/>
    <col min="8004" max="8004" width="6.4140625" style="3"/>
    <col min="8005" max="8005" width="6.4140625" style="2"/>
    <col min="8006" max="8006" width="6.4140625" style="3"/>
    <col min="8007" max="8008" width="6.4140625" style="2"/>
    <col min="8009" max="8009" width="6.4140625" style="1"/>
    <col min="8010" max="8010" width="6.4140625" style="2"/>
    <col min="8011" max="8011" width="6.4140625" style="3"/>
    <col min="8012" max="8012" width="6.4140625" style="2"/>
    <col min="8013" max="8013" width="6.4140625" style="3"/>
    <col min="8014" max="8015" width="6.4140625" style="2"/>
    <col min="8016" max="8016" width="6.4140625" style="1"/>
    <col min="8017" max="8017" width="6.4140625" style="2"/>
    <col min="8018" max="8018" width="6.4140625" style="3"/>
    <col min="8019" max="8019" width="6.4140625" style="2"/>
    <col min="8020" max="8020" width="6.4140625" style="3"/>
    <col min="8021" max="8022" width="6.4140625" style="2"/>
    <col min="8023" max="8023" width="6.4140625" style="1"/>
    <col min="8024" max="8024" width="6.4140625" style="2"/>
    <col min="8025" max="8025" width="6.4140625" style="3"/>
    <col min="8026" max="8026" width="6.4140625" style="2"/>
    <col min="8027" max="8027" width="6.4140625" style="3"/>
    <col min="8028" max="8029" width="6.4140625" style="2"/>
    <col min="8030" max="8030" width="6.4140625" style="1"/>
    <col min="8031" max="8031" width="6.4140625" style="2"/>
    <col min="8032" max="8032" width="6.4140625" style="3"/>
    <col min="8033" max="8033" width="6.4140625" style="2"/>
    <col min="8034" max="8034" width="6.4140625" style="3"/>
    <col min="8035" max="8036" width="6.4140625" style="2"/>
    <col min="8037" max="8037" width="6.4140625" style="1"/>
    <col min="8038" max="8038" width="6.4140625" style="2"/>
    <col min="8039" max="8039" width="6.4140625" style="3"/>
    <col min="8040" max="8040" width="6.4140625" style="2"/>
    <col min="8041" max="8041" width="6.4140625" style="3"/>
    <col min="8042" max="8043" width="6.4140625" style="2"/>
    <col min="8044" max="8044" width="6.4140625" style="1"/>
    <col min="8045" max="8045" width="6.4140625" style="2"/>
    <col min="8046" max="8046" width="6.4140625" style="3"/>
    <col min="8047" max="8047" width="6.4140625" style="2"/>
    <col min="8048" max="8048" width="6.4140625" style="3"/>
    <col min="8049" max="8050" width="6.4140625" style="2"/>
    <col min="8051" max="8051" width="6.4140625" style="1"/>
    <col min="8052" max="8052" width="6.4140625" style="2"/>
    <col min="8053" max="8053" width="6.4140625" style="3"/>
    <col min="8054" max="8054" width="6.4140625" style="2"/>
    <col min="8055" max="8055" width="6.4140625" style="3"/>
    <col min="8056" max="8057" width="6.4140625" style="2"/>
    <col min="8058" max="8058" width="6.4140625" style="1"/>
    <col min="8059" max="8059" width="6.4140625" style="2"/>
    <col min="8060" max="8060" width="6.4140625" style="3"/>
    <col min="8061" max="8061" width="6.4140625" style="2"/>
    <col min="8062" max="8062" width="6.4140625" style="3"/>
    <col min="8063" max="8064" width="6.4140625" style="2"/>
    <col min="8065" max="8065" width="6.4140625" style="1"/>
    <col min="8066" max="8066" width="6.4140625" style="2"/>
    <col min="8067" max="8067" width="6.4140625" style="3"/>
    <col min="8068" max="8068" width="6.4140625" style="2"/>
    <col min="8069" max="8069" width="6.4140625" style="3"/>
    <col min="8070" max="8071" width="6.4140625" style="2"/>
    <col min="8072" max="8072" width="6.4140625" style="1"/>
    <col min="8073" max="8073" width="6.4140625" style="2"/>
    <col min="8074" max="8074" width="6.4140625" style="3"/>
    <col min="8075" max="8075" width="6.4140625" style="2"/>
    <col min="8076" max="8076" width="6.4140625" style="3"/>
    <col min="8077" max="8078" width="6.4140625" style="2"/>
    <col min="8079" max="8079" width="6.4140625" style="1"/>
    <col min="8080" max="8080" width="6.4140625" style="2"/>
    <col min="8081" max="8081" width="6.4140625" style="3"/>
    <col min="8082" max="8082" width="6.4140625" style="2"/>
    <col min="8083" max="8083" width="6.4140625" style="3"/>
    <col min="8084" max="8085" width="6.4140625" style="2"/>
    <col min="8086" max="8086" width="6.4140625" style="1"/>
    <col min="8087" max="8087" width="6.4140625" style="2"/>
    <col min="8088" max="8088" width="6.4140625" style="3"/>
    <col min="8089" max="8089" width="6.4140625" style="2"/>
    <col min="8090" max="8090" width="6.4140625" style="3"/>
    <col min="8091" max="8092" width="6.4140625" style="2"/>
    <col min="8093" max="8093" width="6.4140625" style="1"/>
    <col min="8094" max="8094" width="6.4140625" style="2"/>
    <col min="8095" max="8095" width="6.4140625" style="3"/>
    <col min="8096" max="8096" width="6.4140625" style="2"/>
    <col min="8097" max="8097" width="6.4140625" style="3"/>
    <col min="8098" max="8099" width="6.4140625" style="2"/>
    <col min="8100" max="8100" width="6.4140625" style="1"/>
    <col min="8101" max="8101" width="6.4140625" style="2"/>
    <col min="8102" max="8102" width="6.4140625" style="3"/>
    <col min="8103" max="8103" width="6.4140625" style="2"/>
    <col min="8104" max="8104" width="6.4140625" style="3"/>
    <col min="8105" max="8106" width="6.4140625" style="2"/>
    <col min="8107" max="8107" width="6.4140625" style="1"/>
    <col min="8108" max="8108" width="6.4140625" style="2"/>
    <col min="8109" max="8109" width="6.4140625" style="3"/>
    <col min="8110" max="8110" width="6.4140625" style="2"/>
    <col min="8111" max="8111" width="6.4140625" style="3"/>
    <col min="8112" max="8113" width="6.4140625" style="2"/>
    <col min="8114" max="8114" width="6.4140625" style="1"/>
    <col min="8115" max="8115" width="6.4140625" style="2"/>
    <col min="8116" max="8116" width="6.4140625" style="3"/>
    <col min="8117" max="8117" width="6.4140625" style="2"/>
    <col min="8118" max="8118" width="6.4140625" style="3"/>
    <col min="8119" max="8120" width="6.4140625" style="2"/>
    <col min="8121" max="8121" width="6.4140625" style="1"/>
    <col min="8122" max="8122" width="6.4140625" style="2"/>
    <col min="8123" max="8123" width="6.4140625" style="3"/>
    <col min="8124" max="8124" width="6.4140625" style="2"/>
    <col min="8125" max="8125" width="6.4140625" style="3"/>
    <col min="8126" max="8127" width="6.4140625" style="2"/>
    <col min="8128" max="8128" width="6.4140625" style="1"/>
    <col min="8129" max="8129" width="6.4140625" style="2"/>
    <col min="8130" max="8130" width="6.4140625" style="3"/>
    <col min="8131" max="8131" width="6.4140625" style="2"/>
    <col min="8132" max="8132" width="6.4140625" style="3"/>
    <col min="8133" max="8134" width="6.4140625" style="2"/>
    <col min="8135" max="8135" width="6.4140625" style="1"/>
    <col min="8136" max="8136" width="6.4140625" style="2"/>
    <col min="8137" max="8137" width="6.4140625" style="3"/>
    <col min="8138" max="8138" width="6.4140625" style="2"/>
    <col min="8139" max="8139" width="6.4140625" style="3"/>
    <col min="8140" max="8141" width="6.4140625" style="2"/>
    <col min="8142" max="8142" width="6.4140625" style="1"/>
    <col min="8143" max="8143" width="6.4140625" style="2"/>
    <col min="8144" max="8144" width="6.4140625" style="3"/>
    <col min="8145" max="8145" width="6.4140625" style="2"/>
    <col min="8146" max="8146" width="6.4140625" style="3"/>
    <col min="8147" max="8148" width="6.4140625" style="2"/>
    <col min="8149" max="8149" width="6.4140625" style="1"/>
    <col min="8150" max="8150" width="6.4140625" style="2"/>
    <col min="8151" max="8151" width="6.4140625" style="3"/>
    <col min="8152" max="8152" width="6.4140625" style="2"/>
    <col min="8153" max="8153" width="6.4140625" style="3"/>
    <col min="8154" max="8155" width="6.4140625" style="2"/>
    <col min="8156" max="8156" width="6.4140625" style="1"/>
    <col min="8157" max="8157" width="6.4140625" style="2"/>
    <col min="8158" max="8158" width="6.4140625" style="3"/>
    <col min="8159" max="8159" width="6.4140625" style="2"/>
    <col min="8160" max="8160" width="6.4140625" style="3"/>
    <col min="8161" max="8162" width="6.4140625" style="2"/>
    <col min="8163" max="8163" width="6.4140625" style="1"/>
    <col min="8164" max="8164" width="6.4140625" style="2"/>
    <col min="8165" max="8165" width="6.4140625" style="3"/>
    <col min="8166" max="8166" width="6.4140625" style="2"/>
    <col min="8167" max="8167" width="6.4140625" style="3"/>
    <col min="8168" max="8169" width="6.4140625" style="2"/>
    <col min="8170" max="8170" width="6.4140625" style="1"/>
    <col min="8171" max="8171" width="6.4140625" style="2"/>
    <col min="8172" max="8172" width="6.4140625" style="3"/>
    <col min="8173" max="8173" width="6.4140625" style="2"/>
    <col min="8174" max="8174" width="6.4140625" style="3"/>
    <col min="8175" max="8176" width="6.4140625" style="2"/>
    <col min="8177" max="8177" width="6.4140625" style="1"/>
    <col min="8178" max="8178" width="6.4140625" style="2"/>
    <col min="8179" max="8179" width="6.4140625" style="3"/>
    <col min="8180" max="8180" width="6.4140625" style="2"/>
    <col min="8181" max="8181" width="6.4140625" style="3"/>
    <col min="8182" max="8183" width="6.4140625" style="2"/>
    <col min="8184" max="8184" width="6.4140625" style="1"/>
    <col min="8185" max="8185" width="6.4140625" style="2"/>
    <col min="8186" max="8186" width="6.4140625" style="3"/>
    <col min="8187" max="8187" width="6.4140625" style="2"/>
    <col min="8188" max="8188" width="6.4140625" style="3"/>
    <col min="8189" max="8190" width="6.4140625" style="2"/>
    <col min="8191" max="8191" width="6.4140625" style="1"/>
    <col min="8192" max="8192" width="6.4140625" style="2"/>
    <col min="8193" max="8193" width="6.4140625" style="3"/>
    <col min="8194" max="8194" width="6.4140625" style="2"/>
    <col min="8195" max="8195" width="6.4140625" style="3"/>
    <col min="8196" max="8197" width="6.4140625" style="2"/>
    <col min="8198" max="8198" width="6.4140625" style="1"/>
    <col min="8199" max="8199" width="6.4140625" style="2"/>
    <col min="8200" max="8200" width="6.4140625" style="3"/>
    <col min="8201" max="8201" width="6.4140625" style="2"/>
    <col min="8202" max="8202" width="6.4140625" style="3"/>
    <col min="8203" max="8204" width="6.4140625" style="2"/>
    <col min="8205" max="8205" width="6.4140625" style="1"/>
    <col min="8206" max="8206" width="6.4140625" style="2"/>
    <col min="8207" max="8207" width="6.4140625" style="3"/>
    <col min="8208" max="8208" width="6.4140625" style="2"/>
    <col min="8209" max="8209" width="6.4140625" style="3"/>
    <col min="8210" max="8211" width="6.4140625" style="2"/>
    <col min="8212" max="8212" width="6.4140625" style="1"/>
    <col min="8213" max="8213" width="6.4140625" style="2"/>
    <col min="8214" max="8214" width="6.4140625" style="3"/>
    <col min="8215" max="8215" width="6.4140625" style="2"/>
    <col min="8216" max="8216" width="6.4140625" style="3"/>
    <col min="8217" max="8218" width="6.4140625" style="2"/>
    <col min="8219" max="8219" width="6.4140625" style="1"/>
    <col min="8220" max="8220" width="6.4140625" style="2"/>
    <col min="8221" max="8221" width="6.4140625" style="3"/>
    <col min="8222" max="8222" width="6.4140625" style="2"/>
    <col min="8223" max="8223" width="6.4140625" style="3"/>
    <col min="8224" max="8225" width="6.4140625" style="2"/>
    <col min="8226" max="8226" width="6.4140625" style="1"/>
    <col min="8227" max="8227" width="6.4140625" style="2"/>
    <col min="8228" max="8228" width="6.4140625" style="3"/>
    <col min="8229" max="8229" width="6.4140625" style="2"/>
    <col min="8230" max="8230" width="6.4140625" style="3"/>
    <col min="8231" max="8232" width="6.4140625" style="2"/>
    <col min="8233" max="8233" width="6.4140625" style="1"/>
    <col min="8234" max="8234" width="6.4140625" style="2"/>
    <col min="8235" max="8235" width="6.4140625" style="3"/>
    <col min="8236" max="8236" width="6.4140625" style="2"/>
    <col min="8237" max="8237" width="6.4140625" style="3"/>
    <col min="8238" max="8239" width="6.4140625" style="2"/>
    <col min="8240" max="8240" width="6.4140625" style="1"/>
    <col min="8241" max="8241" width="6.4140625" style="2"/>
    <col min="8242" max="8242" width="6.4140625" style="3"/>
    <col min="8243" max="8243" width="6.4140625" style="2"/>
    <col min="8244" max="8244" width="6.4140625" style="3"/>
    <col min="8245" max="8246" width="6.4140625" style="2"/>
    <col min="8247" max="8247" width="6.4140625" style="1"/>
    <col min="8248" max="8248" width="6.4140625" style="2"/>
    <col min="8249" max="8249" width="6.4140625" style="3"/>
    <col min="8250" max="8250" width="6.4140625" style="2"/>
    <col min="8251" max="8251" width="6.4140625" style="3"/>
    <col min="8252" max="8253" width="6.4140625" style="2"/>
    <col min="8254" max="8254" width="6.4140625" style="1"/>
    <col min="8255" max="8255" width="6.4140625" style="2"/>
    <col min="8256" max="8256" width="6.4140625" style="3"/>
    <col min="8257" max="8257" width="6.4140625" style="2"/>
    <col min="8258" max="8258" width="6.4140625" style="3"/>
    <col min="8259" max="8260" width="6.4140625" style="2"/>
    <col min="8261" max="8261" width="6.4140625" style="1"/>
    <col min="8262" max="8262" width="6.4140625" style="2"/>
    <col min="8263" max="8263" width="6.4140625" style="3"/>
    <col min="8264" max="8264" width="6.4140625" style="2"/>
    <col min="8265" max="8265" width="6.4140625" style="3"/>
    <col min="8266" max="8267" width="6.4140625" style="2"/>
    <col min="8268" max="8268" width="6.4140625" style="1"/>
    <col min="8269" max="8269" width="6.4140625" style="2"/>
    <col min="8270" max="8270" width="6.4140625" style="3"/>
    <col min="8271" max="8271" width="6.4140625" style="2"/>
    <col min="8272" max="8272" width="6.4140625" style="3"/>
    <col min="8273" max="8274" width="6.4140625" style="2"/>
    <col min="8275" max="8275" width="6.4140625" style="1"/>
    <col min="8276" max="8276" width="6.4140625" style="2"/>
    <col min="8277" max="8277" width="6.4140625" style="3"/>
    <col min="8278" max="8278" width="6.4140625" style="2"/>
    <col min="8279" max="8279" width="6.4140625" style="3"/>
    <col min="8280" max="8281" width="6.4140625" style="2"/>
    <col min="8282" max="8282" width="6.4140625" style="1"/>
    <col min="8283" max="8283" width="6.4140625" style="2"/>
    <col min="8284" max="8284" width="6.4140625" style="3"/>
    <col min="8285" max="8285" width="6.4140625" style="2"/>
    <col min="8286" max="8286" width="6.4140625" style="3"/>
    <col min="8287" max="8288" width="6.4140625" style="2"/>
    <col min="8289" max="8289" width="6.4140625" style="1"/>
    <col min="8290" max="8290" width="6.4140625" style="2"/>
    <col min="8291" max="8291" width="6.4140625" style="3"/>
    <col min="8292" max="8292" width="6.4140625" style="2"/>
    <col min="8293" max="8293" width="6.4140625" style="3"/>
    <col min="8294" max="8295" width="6.4140625" style="2"/>
    <col min="8296" max="8296" width="6.4140625" style="1"/>
    <col min="8297" max="8297" width="6.4140625" style="2"/>
    <col min="8298" max="8298" width="6.4140625" style="3"/>
    <col min="8299" max="8299" width="6.4140625" style="2"/>
    <col min="8300" max="8300" width="6.4140625" style="3"/>
    <col min="8301" max="8302" width="6.4140625" style="2"/>
    <col min="8303" max="8303" width="6.4140625" style="1"/>
    <col min="8304" max="8304" width="6.4140625" style="2"/>
    <col min="8305" max="8305" width="6.4140625" style="3"/>
    <col min="8306" max="8306" width="6.4140625" style="2"/>
    <col min="8307" max="8307" width="6.4140625" style="3"/>
    <col min="8308" max="8309" width="6.4140625" style="2"/>
    <col min="8310" max="8310" width="6.4140625" style="1"/>
    <col min="8311" max="8311" width="6.4140625" style="2"/>
    <col min="8312" max="8312" width="6.4140625" style="3"/>
    <col min="8313" max="8313" width="6.4140625" style="2"/>
    <col min="8314" max="8314" width="6.4140625" style="3"/>
    <col min="8315" max="8316" width="6.4140625" style="2"/>
    <col min="8317" max="8317" width="6.4140625" style="1"/>
    <col min="8318" max="8318" width="6.4140625" style="2"/>
    <col min="8319" max="8319" width="6.4140625" style="3"/>
    <col min="8320" max="8320" width="6.4140625" style="2"/>
    <col min="8321" max="8321" width="6.4140625" style="3"/>
    <col min="8322" max="8323" width="6.4140625" style="2"/>
    <col min="8324" max="8324" width="6.4140625" style="1"/>
    <col min="8325" max="8325" width="6.4140625" style="2"/>
    <col min="8326" max="8326" width="6.4140625" style="3"/>
    <col min="8327" max="8327" width="6.4140625" style="2"/>
    <col min="8328" max="8328" width="6.4140625" style="3"/>
    <col min="8329" max="8330" width="6.4140625" style="2"/>
    <col min="8331" max="8331" width="6.4140625" style="1"/>
    <col min="8332" max="8332" width="6.4140625" style="2"/>
    <col min="8333" max="8333" width="6.4140625" style="3"/>
    <col min="8334" max="8334" width="6.4140625" style="2"/>
    <col min="8335" max="8335" width="6.4140625" style="3"/>
    <col min="8336" max="8337" width="6.4140625" style="2"/>
    <col min="8338" max="8338" width="6.4140625" style="1"/>
    <col min="8339" max="8339" width="6.4140625" style="2"/>
    <col min="8340" max="8340" width="6.4140625" style="3"/>
    <col min="8341" max="8341" width="6.4140625" style="2"/>
    <col min="8342" max="8342" width="6.4140625" style="3"/>
    <col min="8343" max="8344" width="6.4140625" style="2"/>
    <col min="8345" max="8345" width="6.4140625" style="1"/>
    <col min="8346" max="8346" width="6.4140625" style="2"/>
    <col min="8347" max="8347" width="6.4140625" style="3"/>
    <col min="8348" max="8348" width="6.4140625" style="2"/>
    <col min="8349" max="8349" width="6.4140625" style="3"/>
    <col min="8350" max="8351" width="6.4140625" style="2"/>
    <col min="8352" max="8352" width="6.4140625" style="1"/>
    <col min="8353" max="8353" width="6.4140625" style="2"/>
    <col min="8354" max="8354" width="6.4140625" style="3"/>
    <col min="8355" max="8355" width="6.4140625" style="2"/>
    <col min="8356" max="8356" width="6.4140625" style="3"/>
    <col min="8357" max="8358" width="6.4140625" style="2"/>
    <col min="8359" max="8359" width="6.4140625" style="1"/>
    <col min="8360" max="8360" width="6.4140625" style="2"/>
    <col min="8361" max="8361" width="6.4140625" style="3"/>
    <col min="8362" max="8362" width="6.4140625" style="2"/>
    <col min="8363" max="8363" width="6.4140625" style="3"/>
    <col min="8364" max="8365" width="6.4140625" style="2"/>
    <col min="8366" max="8366" width="6.4140625" style="1"/>
    <col min="8367" max="8367" width="6.4140625" style="2"/>
    <col min="8368" max="8368" width="6.4140625" style="3"/>
    <col min="8369" max="8369" width="6.4140625" style="2"/>
    <col min="8370" max="8370" width="6.4140625" style="3"/>
    <col min="8371" max="8372" width="6.4140625" style="2"/>
    <col min="8373" max="8373" width="6.4140625" style="1"/>
    <col min="8374" max="8374" width="6.4140625" style="2"/>
    <col min="8375" max="8375" width="6.4140625" style="3"/>
    <col min="8376" max="8376" width="6.4140625" style="2"/>
    <col min="8377" max="8377" width="6.4140625" style="3"/>
    <col min="8378" max="8379" width="6.4140625" style="2"/>
    <col min="8380" max="8380" width="6.4140625" style="1"/>
    <col min="8381" max="8381" width="6.4140625" style="2"/>
    <col min="8382" max="8382" width="6.4140625" style="3"/>
    <col min="8383" max="8383" width="6.4140625" style="2"/>
    <col min="8384" max="8384" width="6.4140625" style="3"/>
    <col min="8385" max="8386" width="6.4140625" style="2"/>
    <col min="8387" max="8387" width="6.4140625" style="1"/>
    <col min="8388" max="8388" width="6.4140625" style="2"/>
    <col min="8389" max="8389" width="6.4140625" style="3"/>
    <col min="8390" max="8390" width="6.4140625" style="2"/>
    <col min="8391" max="8391" width="6.4140625" style="3"/>
    <col min="8392" max="8393" width="6.4140625" style="2"/>
    <col min="8394" max="8394" width="6.4140625" style="1"/>
    <col min="8395" max="8395" width="6.4140625" style="2"/>
    <col min="8396" max="8396" width="6.4140625" style="3"/>
    <col min="8397" max="8397" width="6.4140625" style="2"/>
    <col min="8398" max="8398" width="6.4140625" style="3"/>
    <col min="8399" max="8400" width="6.4140625" style="2"/>
    <col min="8401" max="8401" width="6.4140625" style="1"/>
    <col min="8402" max="8402" width="6.4140625" style="2"/>
    <col min="8403" max="8403" width="6.4140625" style="3"/>
    <col min="8404" max="8404" width="6.4140625" style="2"/>
    <col min="8405" max="8405" width="6.4140625" style="3"/>
    <col min="8406" max="8407" width="6.4140625" style="2"/>
    <col min="8408" max="8408" width="6.4140625" style="1"/>
    <col min="8409" max="8409" width="6.4140625" style="2"/>
    <col min="8410" max="8410" width="6.4140625" style="3"/>
    <col min="8411" max="8411" width="6.4140625" style="2"/>
    <col min="8412" max="8412" width="6.4140625" style="3"/>
    <col min="8413" max="8414" width="6.4140625" style="2"/>
    <col min="8415" max="8415" width="6.4140625" style="1"/>
    <col min="8416" max="8416" width="6.4140625" style="2"/>
    <col min="8417" max="8417" width="6.4140625" style="3"/>
    <col min="8418" max="8418" width="6.4140625" style="2"/>
    <col min="8419" max="8419" width="6.4140625" style="3"/>
    <col min="8420" max="8421" width="6.4140625" style="2"/>
    <col min="8422" max="8422" width="6.4140625" style="1"/>
    <col min="8423" max="8423" width="6.4140625" style="2"/>
    <col min="8424" max="8424" width="6.4140625" style="3"/>
    <col min="8425" max="8425" width="6.4140625" style="2"/>
    <col min="8426" max="8426" width="6.4140625" style="3"/>
    <col min="8427" max="8428" width="6.4140625" style="2"/>
    <col min="8429" max="8429" width="6.4140625" style="1"/>
    <col min="8430" max="8430" width="6.4140625" style="2"/>
    <col min="8431" max="8431" width="6.4140625" style="3"/>
    <col min="8432" max="8432" width="6.4140625" style="2"/>
    <col min="8433" max="8433" width="6.4140625" style="3"/>
    <col min="8434" max="8435" width="6.4140625" style="2"/>
    <col min="8436" max="8436" width="6.4140625" style="1"/>
    <col min="8437" max="8437" width="6.4140625" style="2"/>
    <col min="8438" max="8438" width="6.4140625" style="3"/>
    <col min="8439" max="8439" width="6.4140625" style="2"/>
    <col min="8440" max="8440" width="6.4140625" style="3"/>
    <col min="8441" max="8442" width="6.4140625" style="2"/>
    <col min="8443" max="8443" width="6.4140625" style="1"/>
    <col min="8444" max="8444" width="6.4140625" style="2"/>
    <col min="8445" max="8445" width="6.4140625" style="3"/>
    <col min="8446" max="8446" width="6.4140625" style="2"/>
    <col min="8447" max="8447" width="6.4140625" style="3"/>
    <col min="8448" max="8449" width="6.4140625" style="2"/>
    <col min="8450" max="8450" width="6.4140625" style="1"/>
    <col min="8451" max="8451" width="6.4140625" style="2"/>
    <col min="8452" max="8452" width="6.4140625" style="3"/>
    <col min="8453" max="8453" width="6.4140625" style="2"/>
    <col min="8454" max="8454" width="6.4140625" style="3"/>
    <col min="8455" max="8456" width="6.4140625" style="2"/>
    <col min="8457" max="8457" width="6.4140625" style="1"/>
    <col min="8458" max="8458" width="6.4140625" style="2"/>
    <col min="8459" max="8459" width="6.4140625" style="3"/>
    <col min="8460" max="8460" width="6.4140625" style="2"/>
    <col min="8461" max="8461" width="6.4140625" style="3"/>
    <col min="8462" max="8463" width="6.4140625" style="2"/>
    <col min="8464" max="8464" width="6.4140625" style="1"/>
    <col min="8465" max="8465" width="6.4140625" style="2"/>
    <col min="8466" max="8466" width="6.4140625" style="3"/>
    <col min="8467" max="8467" width="6.4140625" style="2"/>
    <col min="8468" max="8468" width="6.4140625" style="3"/>
    <col min="8469" max="8470" width="6.4140625" style="2"/>
    <col min="8471" max="8471" width="6.4140625" style="1"/>
    <col min="8472" max="8472" width="6.4140625" style="2"/>
    <col min="8473" max="8473" width="6.4140625" style="3"/>
    <col min="8474" max="8474" width="6.4140625" style="2"/>
    <col min="8475" max="8475" width="6.4140625" style="3"/>
    <col min="8476" max="8477" width="6.4140625" style="2"/>
    <col min="8478" max="8478" width="6.4140625" style="1"/>
    <col min="8479" max="8479" width="6.4140625" style="2"/>
    <col min="8480" max="8480" width="6.4140625" style="3"/>
    <col min="8481" max="8481" width="6.4140625" style="2"/>
    <col min="8482" max="8482" width="6.4140625" style="3"/>
    <col min="8483" max="8484" width="6.4140625" style="2"/>
    <col min="8485" max="8485" width="6.4140625" style="1"/>
    <col min="8486" max="8486" width="6.4140625" style="2"/>
    <col min="8487" max="8487" width="6.4140625" style="3"/>
    <col min="8488" max="8488" width="6.4140625" style="2"/>
    <col min="8489" max="8489" width="6.4140625" style="3"/>
    <col min="8490" max="8491" width="6.4140625" style="2"/>
    <col min="8492" max="8492" width="6.4140625" style="1"/>
    <col min="8493" max="8493" width="6.4140625" style="2"/>
    <col min="8494" max="8494" width="6.4140625" style="3"/>
    <col min="8495" max="8495" width="6.4140625" style="2"/>
    <col min="8496" max="8496" width="6.4140625" style="3"/>
    <col min="8497" max="8498" width="6.4140625" style="2"/>
    <col min="8499" max="8499" width="6.4140625" style="1"/>
    <col min="8500" max="8500" width="6.4140625" style="2"/>
    <col min="8501" max="8501" width="6.4140625" style="3"/>
    <col min="8502" max="8502" width="6.4140625" style="2"/>
    <col min="8503" max="8503" width="6.4140625" style="3"/>
    <col min="8504" max="8505" width="6.4140625" style="2"/>
    <col min="8506" max="8506" width="6.4140625" style="1"/>
    <col min="8507" max="8507" width="6.4140625" style="2"/>
    <col min="8508" max="8508" width="6.4140625" style="3"/>
    <col min="8509" max="8509" width="6.4140625" style="2"/>
    <col min="8510" max="8510" width="6.4140625" style="3"/>
    <col min="8511" max="8512" width="6.4140625" style="2"/>
    <col min="8513" max="8513" width="6.4140625" style="1"/>
    <col min="8514" max="8514" width="6.4140625" style="2"/>
    <col min="8515" max="8515" width="6.4140625" style="3"/>
    <col min="8516" max="8516" width="6.4140625" style="2"/>
    <col min="8517" max="8517" width="6.4140625" style="3"/>
    <col min="8518" max="8519" width="6.4140625" style="2"/>
    <col min="8520" max="8520" width="6.4140625" style="1"/>
    <col min="8521" max="8521" width="6.4140625" style="2"/>
    <col min="8522" max="8522" width="6.4140625" style="3"/>
    <col min="8523" max="8523" width="6.4140625" style="2"/>
    <col min="8524" max="8524" width="6.4140625" style="3"/>
    <col min="8525" max="8526" width="6.4140625" style="2"/>
    <col min="8527" max="8527" width="6.4140625" style="1"/>
    <col min="8528" max="8528" width="6.4140625" style="2"/>
    <col min="8529" max="8529" width="6.4140625" style="3"/>
    <col min="8530" max="8530" width="6.4140625" style="2"/>
    <col min="8531" max="8531" width="6.4140625" style="3"/>
    <col min="8532" max="8533" width="6.4140625" style="2"/>
    <col min="8534" max="8534" width="6.4140625" style="1"/>
    <col min="8535" max="8535" width="6.4140625" style="2"/>
    <col min="8536" max="8536" width="6.4140625" style="3"/>
    <col min="8537" max="8537" width="6.4140625" style="2"/>
    <col min="8538" max="8538" width="6.4140625" style="3"/>
    <col min="8539" max="8540" width="6.4140625" style="2"/>
    <col min="8541" max="8541" width="6.4140625" style="1"/>
    <col min="8542" max="8542" width="6.4140625" style="2"/>
    <col min="8543" max="8543" width="6.4140625" style="3"/>
    <col min="8544" max="8544" width="6.4140625" style="2"/>
    <col min="8545" max="8545" width="6.4140625" style="3"/>
    <col min="8546" max="8547" width="6.4140625" style="2"/>
    <col min="8548" max="8548" width="6.4140625" style="1"/>
    <col min="8549" max="8549" width="6.4140625" style="2"/>
    <col min="8550" max="8550" width="6.4140625" style="3"/>
    <col min="8551" max="8551" width="6.4140625" style="2"/>
    <col min="8552" max="8552" width="6.4140625" style="3"/>
    <col min="8553" max="8554" width="6.4140625" style="2"/>
    <col min="8555" max="8555" width="6.4140625" style="1"/>
    <col min="8556" max="8556" width="6.4140625" style="2"/>
    <col min="8557" max="8557" width="6.4140625" style="3"/>
    <col min="8558" max="8558" width="6.4140625" style="2"/>
    <col min="8559" max="8559" width="6.4140625" style="3"/>
    <col min="8560" max="8561" width="6.4140625" style="2"/>
    <col min="8562" max="8562" width="6.4140625" style="1"/>
    <col min="8563" max="8563" width="6.4140625" style="2"/>
    <col min="8564" max="8564" width="6.4140625" style="3"/>
    <col min="8565" max="8565" width="6.4140625" style="2"/>
    <col min="8566" max="8566" width="6.4140625" style="3"/>
    <col min="8567" max="8568" width="6.4140625" style="2"/>
    <col min="8569" max="8569" width="6.4140625" style="1"/>
    <col min="8570" max="8570" width="6.4140625" style="2"/>
    <col min="8571" max="8571" width="6.4140625" style="3"/>
    <col min="8572" max="8572" width="6.4140625" style="2"/>
    <col min="8573" max="8573" width="6.4140625" style="3"/>
    <col min="8574" max="8575" width="6.4140625" style="2"/>
    <col min="8576" max="8576" width="6.4140625" style="1"/>
    <col min="8577" max="8577" width="6.4140625" style="2"/>
    <col min="8578" max="8578" width="6.4140625" style="3"/>
    <col min="8579" max="8579" width="6.4140625" style="2"/>
    <col min="8580" max="8580" width="6.4140625" style="3"/>
    <col min="8581" max="8582" width="6.4140625" style="2"/>
    <col min="8583" max="8583" width="6.4140625" style="1"/>
    <col min="8584" max="8584" width="6.4140625" style="2"/>
    <col min="8585" max="8585" width="6.4140625" style="3"/>
    <col min="8586" max="8586" width="6.4140625" style="2"/>
    <col min="8587" max="8587" width="6.4140625" style="3"/>
    <col min="8588" max="8589" width="6.4140625" style="2"/>
    <col min="8590" max="8590" width="6.4140625" style="1"/>
    <col min="8591" max="8591" width="6.4140625" style="2"/>
    <col min="8592" max="8592" width="6.4140625" style="3"/>
    <col min="8593" max="8593" width="6.4140625" style="2"/>
    <col min="8594" max="8594" width="6.4140625" style="3"/>
    <col min="8595" max="8596" width="6.4140625" style="2"/>
    <col min="8597" max="8597" width="6.4140625" style="1"/>
    <col min="8598" max="8598" width="6.4140625" style="2"/>
    <col min="8599" max="8599" width="6.4140625" style="3"/>
    <col min="8600" max="8600" width="6.4140625" style="2"/>
    <col min="8601" max="8601" width="6.4140625" style="3"/>
    <col min="8602" max="8603" width="6.4140625" style="2"/>
    <col min="8604" max="8604" width="6.4140625" style="1"/>
    <col min="8605" max="8605" width="6.4140625" style="2"/>
    <col min="8606" max="8606" width="6.4140625" style="3"/>
    <col min="8607" max="8607" width="6.4140625" style="2"/>
    <col min="8608" max="8608" width="6.4140625" style="3"/>
    <col min="8609" max="8610" width="6.4140625" style="2"/>
    <col min="8611" max="8611" width="6.4140625" style="1"/>
    <col min="8612" max="8612" width="6.4140625" style="2"/>
    <col min="8613" max="8613" width="6.4140625" style="3"/>
    <col min="8614" max="8614" width="6.4140625" style="2"/>
    <col min="8615" max="8615" width="6.4140625" style="3"/>
    <col min="8616" max="8617" width="6.4140625" style="2"/>
    <col min="8618" max="8618" width="6.4140625" style="1"/>
    <col min="8619" max="8619" width="6.4140625" style="2"/>
    <col min="8620" max="8620" width="6.4140625" style="3"/>
    <col min="8621" max="8621" width="6.4140625" style="2"/>
    <col min="8622" max="8622" width="6.4140625" style="3"/>
    <col min="8623" max="8624" width="6.4140625" style="2"/>
    <col min="8625" max="8625" width="6.4140625" style="1"/>
    <col min="8626" max="8626" width="6.4140625" style="2"/>
    <col min="8627" max="8627" width="6.4140625" style="3"/>
    <col min="8628" max="8628" width="6.4140625" style="2"/>
    <col min="8629" max="8629" width="6.4140625" style="3"/>
    <col min="8630" max="8631" width="6.4140625" style="2"/>
    <col min="8632" max="8632" width="6.4140625" style="1"/>
    <col min="8633" max="8633" width="6.4140625" style="2"/>
    <col min="8634" max="8634" width="6.4140625" style="3"/>
    <col min="8635" max="8635" width="6.4140625" style="2"/>
    <col min="8636" max="8636" width="6.4140625" style="3"/>
    <col min="8637" max="8638" width="6.4140625" style="2"/>
    <col min="8639" max="8639" width="6.4140625" style="1"/>
    <col min="8640" max="8640" width="6.4140625" style="2"/>
    <col min="8641" max="8641" width="6.4140625" style="3"/>
    <col min="8642" max="8642" width="6.4140625" style="2"/>
    <col min="8643" max="8643" width="6.4140625" style="3"/>
    <col min="8644" max="8645" width="6.4140625" style="2"/>
    <col min="8646" max="8646" width="6.4140625" style="1"/>
    <col min="8647" max="8647" width="6.4140625" style="2"/>
    <col min="8648" max="8648" width="6.4140625" style="3"/>
    <col min="8649" max="8649" width="6.4140625" style="2"/>
    <col min="8650" max="8650" width="6.4140625" style="3"/>
    <col min="8651" max="8652" width="6.4140625" style="2"/>
    <col min="8653" max="8653" width="6.4140625" style="1"/>
    <col min="8654" max="8654" width="6.4140625" style="2"/>
    <col min="8655" max="8655" width="6.4140625" style="3"/>
    <col min="8656" max="8656" width="6.4140625" style="2"/>
    <col min="8657" max="8657" width="6.4140625" style="3"/>
    <col min="8658" max="8659" width="6.4140625" style="2"/>
    <col min="8660" max="8660" width="6.4140625" style="1"/>
    <col min="8661" max="8661" width="6.4140625" style="2"/>
    <col min="8662" max="8662" width="6.4140625" style="3"/>
    <col min="8663" max="8663" width="6.4140625" style="2"/>
    <col min="8664" max="8664" width="6.4140625" style="3"/>
    <col min="8665" max="8666" width="6.4140625" style="2"/>
    <col min="8667" max="8667" width="6.4140625" style="1"/>
    <col min="8668" max="8668" width="6.4140625" style="2"/>
    <col min="8669" max="8669" width="6.4140625" style="3"/>
    <col min="8670" max="8670" width="6.4140625" style="2"/>
    <col min="8671" max="8671" width="6.4140625" style="3"/>
    <col min="8672" max="8673" width="6.4140625" style="2"/>
    <col min="8674" max="8674" width="6.4140625" style="1"/>
    <col min="8675" max="8675" width="6.4140625" style="2"/>
    <col min="8676" max="8676" width="6.4140625" style="3"/>
    <col min="8677" max="8677" width="6.4140625" style="2"/>
    <col min="8678" max="8678" width="6.4140625" style="3"/>
    <col min="8679" max="8680" width="6.4140625" style="2"/>
    <col min="8681" max="8681" width="6.4140625" style="1"/>
    <col min="8682" max="8682" width="6.4140625" style="2"/>
    <col min="8683" max="8683" width="6.4140625" style="3"/>
    <col min="8684" max="8684" width="6.4140625" style="2"/>
    <col min="8685" max="8685" width="6.4140625" style="3"/>
    <col min="8686" max="8687" width="6.4140625" style="2"/>
    <col min="8688" max="8688" width="6.4140625" style="1"/>
    <col min="8689" max="8689" width="6.4140625" style="2"/>
    <col min="8690" max="8690" width="6.4140625" style="3"/>
    <col min="8691" max="8691" width="6.4140625" style="2"/>
    <col min="8692" max="8692" width="6.4140625" style="3"/>
    <col min="8693" max="8694" width="6.4140625" style="2"/>
    <col min="8695" max="8695" width="6.4140625" style="1"/>
    <col min="8696" max="8696" width="6.4140625" style="2"/>
    <col min="8697" max="8697" width="6.4140625" style="3"/>
    <col min="8698" max="8698" width="6.4140625" style="2"/>
    <col min="8699" max="8699" width="6.4140625" style="3"/>
    <col min="8700" max="8701" width="6.4140625" style="2"/>
    <col min="8702" max="8702" width="6.4140625" style="1"/>
    <col min="8703" max="8703" width="6.4140625" style="2"/>
    <col min="8704" max="8704" width="6.4140625" style="3"/>
    <col min="8705" max="8705" width="6.4140625" style="2"/>
    <col min="8706" max="8706" width="6.4140625" style="3"/>
    <col min="8707" max="8708" width="6.4140625" style="2"/>
    <col min="8709" max="8709" width="6.4140625" style="1"/>
    <col min="8710" max="8710" width="6.4140625" style="2"/>
    <col min="8711" max="8711" width="6.4140625" style="3"/>
    <col min="8712" max="8712" width="6.4140625" style="2"/>
    <col min="8713" max="8713" width="6.4140625" style="3"/>
    <col min="8714" max="8715" width="6.4140625" style="2"/>
    <col min="8716" max="8716" width="6.4140625" style="1"/>
    <col min="8717" max="8717" width="6.4140625" style="2"/>
    <col min="8718" max="8718" width="6.4140625" style="3"/>
    <col min="8719" max="8719" width="6.4140625" style="2"/>
    <col min="8720" max="8720" width="6.4140625" style="3"/>
    <col min="8721" max="8722" width="6.4140625" style="2"/>
    <col min="8723" max="8723" width="6.4140625" style="1"/>
    <col min="8724" max="8724" width="6.4140625" style="2"/>
    <col min="8725" max="8725" width="6.4140625" style="3"/>
    <col min="8726" max="8726" width="6.4140625" style="2"/>
    <col min="8727" max="8727" width="6.4140625" style="3"/>
    <col min="8728" max="8729" width="6.4140625" style="2"/>
    <col min="8730" max="8730" width="6.4140625" style="1"/>
    <col min="8731" max="8731" width="6.4140625" style="2"/>
    <col min="8732" max="8732" width="6.4140625" style="3"/>
    <col min="8733" max="8733" width="6.4140625" style="2"/>
    <col min="8734" max="8734" width="6.4140625" style="3"/>
    <col min="8735" max="8736" width="6.4140625" style="2"/>
    <col min="8737" max="8737" width="6.4140625" style="1"/>
    <col min="8738" max="8738" width="6.4140625" style="2"/>
    <col min="8739" max="8739" width="6.4140625" style="3"/>
    <col min="8740" max="8740" width="6.4140625" style="2"/>
    <col min="8741" max="8741" width="6.4140625" style="3"/>
    <col min="8742" max="8743" width="6.4140625" style="2"/>
    <col min="8744" max="8744" width="6.4140625" style="1"/>
    <col min="8745" max="8745" width="6.4140625" style="2"/>
    <col min="8746" max="8746" width="6.4140625" style="3"/>
    <col min="8747" max="8747" width="6.4140625" style="2"/>
    <col min="8748" max="8748" width="6.4140625" style="3"/>
    <col min="8749" max="8750" width="6.4140625" style="2"/>
    <col min="8751" max="8751" width="6.4140625" style="1"/>
    <col min="8752" max="8752" width="6.4140625" style="2"/>
    <col min="8753" max="8753" width="6.4140625" style="3"/>
    <col min="8754" max="8754" width="6.4140625" style="2"/>
    <col min="8755" max="8755" width="6.4140625" style="3"/>
    <col min="8756" max="8757" width="6.4140625" style="2"/>
    <col min="8758" max="8758" width="6.4140625" style="1"/>
    <col min="8759" max="8759" width="6.4140625" style="2"/>
    <col min="8760" max="8760" width="6.4140625" style="3"/>
    <col min="8761" max="8761" width="6.4140625" style="2"/>
    <col min="8762" max="8762" width="6.4140625" style="3"/>
    <col min="8763" max="8764" width="6.4140625" style="2"/>
    <col min="8765" max="8765" width="6.4140625" style="1"/>
    <col min="8766" max="8766" width="6.4140625" style="2"/>
    <col min="8767" max="8767" width="6.4140625" style="3"/>
    <col min="8768" max="8768" width="6.4140625" style="2"/>
    <col min="8769" max="8769" width="6.4140625" style="3"/>
    <col min="8770" max="8771" width="6.4140625" style="2"/>
    <col min="8772" max="8772" width="6.4140625" style="1"/>
    <col min="8773" max="8773" width="6.4140625" style="2"/>
    <col min="8774" max="8774" width="6.4140625" style="3"/>
    <col min="8775" max="8775" width="6.4140625" style="2"/>
    <col min="8776" max="8776" width="6.4140625" style="3"/>
    <col min="8777" max="8778" width="6.4140625" style="2"/>
    <col min="8779" max="8779" width="6.4140625" style="1"/>
    <col min="8780" max="8780" width="6.4140625" style="2"/>
    <col min="8781" max="8781" width="6.4140625" style="3"/>
    <col min="8782" max="8782" width="6.4140625" style="2"/>
    <col min="8783" max="8783" width="6.4140625" style="3"/>
    <col min="8784" max="8785" width="6.4140625" style="2"/>
    <col min="8786" max="8786" width="6.4140625" style="1"/>
    <col min="8787" max="8787" width="6.4140625" style="2"/>
    <col min="8788" max="8788" width="6.4140625" style="3"/>
    <col min="8789" max="8789" width="6.4140625" style="2"/>
    <col min="8790" max="8790" width="6.4140625" style="3"/>
    <col min="8791" max="8792" width="6.4140625" style="2"/>
    <col min="8793" max="8793" width="6.4140625" style="1"/>
    <col min="8794" max="8794" width="6.4140625" style="2"/>
    <col min="8795" max="8795" width="6.4140625" style="3"/>
    <col min="8796" max="8796" width="6.4140625" style="2"/>
    <col min="8797" max="8797" width="6.4140625" style="3"/>
    <col min="8798" max="8799" width="6.4140625" style="2"/>
    <col min="8800" max="8800" width="6.4140625" style="1"/>
    <col min="8801" max="8801" width="6.4140625" style="2"/>
    <col min="8802" max="8802" width="6.4140625" style="3"/>
    <col min="8803" max="8803" width="6.4140625" style="2"/>
    <col min="8804" max="8804" width="6.4140625" style="3"/>
    <col min="8805" max="8806" width="6.4140625" style="2"/>
    <col min="8807" max="8807" width="6.4140625" style="1"/>
    <col min="8808" max="8808" width="6.4140625" style="2"/>
    <col min="8809" max="8809" width="6.4140625" style="3"/>
    <col min="8810" max="8810" width="6.4140625" style="2"/>
    <col min="8811" max="8811" width="6.4140625" style="3"/>
    <col min="8812" max="8813" width="6.4140625" style="2"/>
    <col min="8814" max="8814" width="6.4140625" style="1"/>
    <col min="8815" max="8815" width="6.4140625" style="2"/>
    <col min="8816" max="8816" width="6.4140625" style="3"/>
    <col min="8817" max="8817" width="6.4140625" style="2"/>
    <col min="8818" max="8818" width="6.4140625" style="3"/>
    <col min="8819" max="8820" width="6.4140625" style="2"/>
    <col min="8821" max="8821" width="6.4140625" style="1"/>
    <col min="8822" max="8822" width="6.4140625" style="2"/>
    <col min="8823" max="8823" width="6.4140625" style="3"/>
    <col min="8824" max="8824" width="6.4140625" style="2"/>
    <col min="8825" max="8825" width="6.4140625" style="3"/>
    <col min="8826" max="8827" width="6.4140625" style="2"/>
    <col min="8828" max="8828" width="6.4140625" style="1"/>
    <col min="8829" max="8829" width="6.4140625" style="2"/>
    <col min="8830" max="8830" width="6.4140625" style="3"/>
    <col min="8831" max="8831" width="6.4140625" style="2"/>
    <col min="8832" max="8832" width="6.4140625" style="3"/>
    <col min="8833" max="8834" width="6.4140625" style="2"/>
    <col min="8835" max="8835" width="6.4140625" style="1"/>
    <col min="8836" max="8836" width="6.4140625" style="2"/>
    <col min="8837" max="8837" width="6.4140625" style="3"/>
    <col min="8838" max="8838" width="6.4140625" style="2"/>
    <col min="8839" max="8839" width="6.4140625" style="3"/>
    <col min="8840" max="8841" width="6.4140625" style="2"/>
    <col min="8842" max="8842" width="6.4140625" style="1"/>
    <col min="8843" max="8843" width="6.4140625" style="2"/>
    <col min="8844" max="8844" width="6.4140625" style="3"/>
    <col min="8845" max="8845" width="6.4140625" style="2"/>
    <col min="8846" max="8846" width="6.4140625" style="3"/>
    <col min="8847" max="8848" width="6.4140625" style="2"/>
    <col min="8849" max="8849" width="6.4140625" style="1"/>
    <col min="8850" max="8850" width="6.4140625" style="2"/>
    <col min="8851" max="8851" width="6.4140625" style="3"/>
    <col min="8852" max="8852" width="6.4140625" style="2"/>
    <col min="8853" max="8853" width="6.4140625" style="3"/>
    <col min="8854" max="8855" width="6.4140625" style="2"/>
    <col min="8856" max="8856" width="6.4140625" style="1"/>
    <col min="8857" max="8857" width="6.4140625" style="2"/>
    <col min="8858" max="8858" width="6.4140625" style="3"/>
    <col min="8859" max="8859" width="6.4140625" style="2"/>
    <col min="8860" max="8860" width="6.4140625" style="3"/>
    <col min="8861" max="8862" width="6.4140625" style="2"/>
    <col min="8863" max="8863" width="6.4140625" style="1"/>
    <col min="8864" max="8864" width="6.4140625" style="2"/>
    <col min="8865" max="8865" width="6.4140625" style="3"/>
    <col min="8866" max="8866" width="6.4140625" style="2"/>
    <col min="8867" max="8867" width="6.4140625" style="3"/>
    <col min="8868" max="8869" width="6.4140625" style="2"/>
    <col min="8870" max="8870" width="6.4140625" style="1"/>
    <col min="8871" max="8871" width="6.4140625" style="2"/>
    <col min="8872" max="8872" width="6.4140625" style="3"/>
    <col min="8873" max="8873" width="6.4140625" style="2"/>
    <col min="8874" max="8874" width="6.4140625" style="3"/>
    <col min="8875" max="8876" width="6.4140625" style="2"/>
    <col min="8877" max="8877" width="6.4140625" style="1"/>
    <col min="8878" max="8878" width="6.4140625" style="2"/>
    <col min="8879" max="8879" width="6.4140625" style="3"/>
    <col min="8880" max="8880" width="6.4140625" style="2"/>
    <col min="8881" max="8881" width="6.4140625" style="3"/>
    <col min="8882" max="8883" width="6.4140625" style="2"/>
    <col min="8884" max="8884" width="6.4140625" style="1"/>
    <col min="8885" max="8885" width="6.4140625" style="2"/>
    <col min="8886" max="8886" width="6.4140625" style="3"/>
    <col min="8887" max="8887" width="6.4140625" style="2"/>
    <col min="8888" max="8888" width="6.4140625" style="3"/>
    <col min="8889" max="8890" width="6.4140625" style="2"/>
    <col min="8891" max="8891" width="6.4140625" style="1"/>
    <col min="8892" max="8892" width="6.4140625" style="2"/>
    <col min="8893" max="8893" width="6.4140625" style="3"/>
    <col min="8894" max="8894" width="6.4140625" style="2"/>
    <col min="8895" max="8895" width="6.4140625" style="3"/>
    <col min="8896" max="8897" width="6.4140625" style="2"/>
    <col min="8898" max="8898" width="6.4140625" style="1"/>
    <col min="8899" max="8899" width="6.4140625" style="2"/>
    <col min="8900" max="8900" width="6.4140625" style="3"/>
    <col min="8901" max="8901" width="6.4140625" style="2"/>
    <col min="8902" max="8902" width="6.4140625" style="3"/>
    <col min="8903" max="8904" width="6.4140625" style="2"/>
    <col min="8905" max="8905" width="6.4140625" style="1"/>
    <col min="8906" max="8906" width="6.4140625" style="2"/>
    <col min="8907" max="8907" width="6.4140625" style="3"/>
    <col min="8908" max="8908" width="6.4140625" style="2"/>
    <col min="8909" max="8909" width="6.4140625" style="3"/>
    <col min="8910" max="8911" width="6.4140625" style="2"/>
    <col min="8912" max="8912" width="6.4140625" style="1"/>
    <col min="8913" max="8913" width="6.4140625" style="2"/>
    <col min="8914" max="8914" width="6.4140625" style="3"/>
    <col min="8915" max="8915" width="6.4140625" style="2"/>
    <col min="8916" max="8916" width="6.4140625" style="3"/>
    <col min="8917" max="8918" width="6.4140625" style="2"/>
    <col min="8919" max="8919" width="6.4140625" style="1"/>
    <col min="8920" max="8920" width="6.4140625" style="2"/>
    <col min="8921" max="8921" width="6.4140625" style="3"/>
    <col min="8922" max="8922" width="6.4140625" style="2"/>
    <col min="8923" max="8923" width="6.4140625" style="3"/>
    <col min="8924" max="8925" width="6.4140625" style="2"/>
    <col min="8926" max="8926" width="6.4140625" style="1"/>
    <col min="8927" max="8927" width="6.4140625" style="2"/>
    <col min="8928" max="8928" width="6.4140625" style="3"/>
    <col min="8929" max="8929" width="6.4140625" style="2"/>
    <col min="8930" max="8930" width="6.4140625" style="3"/>
    <col min="8931" max="8932" width="6.4140625" style="2"/>
    <col min="8933" max="8933" width="6.4140625" style="1"/>
    <col min="8934" max="8934" width="6.4140625" style="2"/>
    <col min="8935" max="8935" width="6.4140625" style="3"/>
    <col min="8936" max="8936" width="6.4140625" style="2"/>
    <col min="8937" max="8937" width="6.4140625" style="3"/>
    <col min="8938" max="8939" width="6.4140625" style="2"/>
    <col min="8940" max="8940" width="6.4140625" style="1"/>
    <col min="8941" max="8941" width="6.4140625" style="2"/>
    <col min="8942" max="8942" width="6.4140625" style="3"/>
    <col min="8943" max="8943" width="6.4140625" style="2"/>
    <col min="8944" max="8944" width="6.4140625" style="3"/>
    <col min="8945" max="8946" width="6.4140625" style="2"/>
    <col min="8947" max="8947" width="6.4140625" style="1"/>
    <col min="8948" max="8948" width="6.4140625" style="2"/>
    <col min="8949" max="8949" width="6.4140625" style="3"/>
    <col min="8950" max="8950" width="6.4140625" style="2"/>
    <col min="8951" max="8951" width="6.4140625" style="3"/>
    <col min="8952" max="8953" width="6.4140625" style="2"/>
    <col min="8954" max="8954" width="6.4140625" style="1"/>
    <col min="8955" max="8955" width="6.4140625" style="2"/>
    <col min="8956" max="8956" width="6.4140625" style="3"/>
    <col min="8957" max="8957" width="6.4140625" style="2"/>
    <col min="8958" max="8958" width="6.4140625" style="3"/>
    <col min="8959" max="8960" width="6.4140625" style="2"/>
    <col min="8961" max="8961" width="6.4140625" style="1"/>
    <col min="8962" max="8962" width="6.4140625" style="2"/>
    <col min="8963" max="8963" width="6.4140625" style="3"/>
    <col min="8964" max="8964" width="6.4140625" style="2"/>
    <col min="8965" max="8965" width="6.4140625" style="3"/>
    <col min="8966" max="8967" width="6.4140625" style="2"/>
    <col min="8968" max="8968" width="6.4140625" style="1"/>
    <col min="8969" max="8969" width="6.4140625" style="2"/>
    <col min="8970" max="8970" width="6.4140625" style="3"/>
    <col min="8971" max="8971" width="6.4140625" style="2"/>
    <col min="8972" max="8972" width="6.4140625" style="3"/>
    <col min="8973" max="8974" width="6.4140625" style="2"/>
    <col min="8975" max="8975" width="6.4140625" style="1"/>
    <col min="8976" max="8976" width="6.4140625" style="2"/>
    <col min="8977" max="8977" width="6.4140625" style="3"/>
    <col min="8978" max="8978" width="6.4140625" style="2"/>
    <col min="8979" max="8979" width="6.4140625" style="3"/>
    <col min="8980" max="8981" width="6.4140625" style="2"/>
    <col min="8982" max="8982" width="6.4140625" style="1"/>
    <col min="8983" max="8983" width="6.4140625" style="2"/>
    <col min="8984" max="8984" width="6.4140625" style="3"/>
    <col min="8985" max="8985" width="6.4140625" style="2"/>
    <col min="8986" max="8986" width="6.4140625" style="3"/>
    <col min="8987" max="8988" width="6.4140625" style="2"/>
    <col min="8989" max="8989" width="6.4140625" style="1"/>
    <col min="8990" max="8990" width="6.4140625" style="2"/>
    <col min="8991" max="8991" width="6.4140625" style="3"/>
    <col min="8992" max="8992" width="6.4140625" style="2"/>
    <col min="8993" max="8993" width="6.4140625" style="3"/>
    <col min="8994" max="8995" width="6.4140625" style="2"/>
    <col min="8996" max="8996" width="6.4140625" style="1"/>
    <col min="8997" max="8997" width="6.4140625" style="2"/>
    <col min="8998" max="8998" width="6.4140625" style="3"/>
    <col min="8999" max="8999" width="6.4140625" style="2"/>
    <col min="9000" max="9000" width="6.4140625" style="3"/>
    <col min="9001" max="9002" width="6.4140625" style="2"/>
    <col min="9003" max="9003" width="6.4140625" style="1"/>
    <col min="9004" max="9004" width="6.4140625" style="2"/>
    <col min="9005" max="9005" width="6.4140625" style="3"/>
    <col min="9006" max="9006" width="6.4140625" style="2"/>
    <col min="9007" max="9007" width="6.4140625" style="3"/>
    <col min="9008" max="9009" width="6.4140625" style="2"/>
    <col min="9010" max="9010" width="6.4140625" style="1"/>
    <col min="9011" max="9011" width="6.4140625" style="2"/>
    <col min="9012" max="9012" width="6.4140625" style="3"/>
    <col min="9013" max="9013" width="6.4140625" style="2"/>
    <col min="9014" max="9014" width="6.4140625" style="3"/>
    <col min="9015" max="9016" width="6.4140625" style="2"/>
    <col min="9017" max="9017" width="6.4140625" style="1"/>
    <col min="9018" max="9018" width="6.4140625" style="2"/>
    <col min="9019" max="9019" width="6.4140625" style="3"/>
    <col min="9020" max="9020" width="6.4140625" style="2"/>
    <col min="9021" max="9021" width="6.4140625" style="3"/>
    <col min="9022" max="9023" width="6.4140625" style="2"/>
    <col min="9024" max="9024" width="6.4140625" style="1"/>
    <col min="9025" max="9025" width="6.4140625" style="2"/>
    <col min="9026" max="9026" width="6.4140625" style="3"/>
    <col min="9027" max="9027" width="6.4140625" style="2"/>
    <col min="9028" max="9028" width="6.4140625" style="3"/>
    <col min="9029" max="9030" width="6.4140625" style="2"/>
    <col min="9031" max="9031" width="6.4140625" style="1"/>
    <col min="9032" max="9032" width="6.4140625" style="2"/>
    <col min="9033" max="9033" width="6.4140625" style="3"/>
    <col min="9034" max="9034" width="6.4140625" style="2"/>
    <col min="9035" max="9035" width="6.4140625" style="3"/>
    <col min="9036" max="9037" width="6.4140625" style="2"/>
    <col min="9038" max="9038" width="6.4140625" style="1"/>
    <col min="9039" max="9039" width="6.4140625" style="2"/>
    <col min="9040" max="9040" width="6.4140625" style="3"/>
    <col min="9041" max="9041" width="6.4140625" style="2"/>
    <col min="9042" max="9042" width="6.4140625" style="3"/>
    <col min="9043" max="9044" width="6.4140625" style="2"/>
    <col min="9045" max="9045" width="6.4140625" style="1"/>
    <col min="9046" max="9046" width="6.4140625" style="2"/>
    <col min="9047" max="9047" width="6.4140625" style="3"/>
    <col min="9048" max="9048" width="6.4140625" style="2"/>
    <col min="9049" max="9049" width="6.4140625" style="3"/>
    <col min="9050" max="9051" width="6.4140625" style="2"/>
    <col min="9052" max="9052" width="6.4140625" style="1"/>
    <col min="9053" max="9053" width="6.4140625" style="2"/>
    <col min="9054" max="9054" width="6.4140625" style="3"/>
    <col min="9055" max="9055" width="6.4140625" style="2"/>
    <col min="9056" max="9056" width="6.4140625" style="3"/>
    <col min="9057" max="9058" width="6.4140625" style="2"/>
    <col min="9059" max="9059" width="6.4140625" style="1"/>
    <col min="9060" max="9060" width="6.4140625" style="2"/>
    <col min="9061" max="9061" width="6.4140625" style="3"/>
    <col min="9062" max="9062" width="6.4140625" style="2"/>
    <col min="9063" max="9063" width="6.4140625" style="3"/>
    <col min="9064" max="9065" width="6.4140625" style="2"/>
    <col min="9066" max="9066" width="6.4140625" style="1"/>
    <col min="9067" max="9067" width="6.4140625" style="2"/>
    <col min="9068" max="9068" width="6.4140625" style="3"/>
    <col min="9069" max="9069" width="6.4140625" style="2"/>
    <col min="9070" max="9070" width="6.4140625" style="3"/>
    <col min="9071" max="9072" width="6.4140625" style="2"/>
    <col min="9073" max="9073" width="6.4140625" style="1"/>
    <col min="9074" max="9074" width="6.4140625" style="2"/>
    <col min="9075" max="9075" width="6.4140625" style="3"/>
    <col min="9076" max="9076" width="6.4140625" style="2"/>
    <col min="9077" max="9077" width="6.4140625" style="3"/>
    <col min="9078" max="9079" width="6.4140625" style="2"/>
    <col min="9080" max="9080" width="6.4140625" style="1"/>
    <col min="9081" max="9081" width="6.4140625" style="2"/>
    <col min="9082" max="9082" width="6.4140625" style="3"/>
    <col min="9083" max="9083" width="6.4140625" style="2"/>
    <col min="9084" max="9084" width="6.4140625" style="3"/>
    <col min="9085" max="9086" width="6.4140625" style="2"/>
    <col min="9087" max="9087" width="6.4140625" style="1"/>
    <col min="9088" max="9088" width="6.4140625" style="2"/>
    <col min="9089" max="9089" width="6.4140625" style="3"/>
    <col min="9090" max="9090" width="6.4140625" style="2"/>
    <col min="9091" max="9091" width="6.4140625" style="3"/>
    <col min="9092" max="9093" width="6.4140625" style="2"/>
    <col min="9094" max="9094" width="6.4140625" style="1"/>
    <col min="9095" max="9095" width="6.4140625" style="2"/>
    <col min="9096" max="9096" width="6.4140625" style="3"/>
    <col min="9097" max="9097" width="6.4140625" style="2"/>
    <col min="9098" max="9098" width="6.4140625" style="3"/>
    <col min="9099" max="9100" width="6.4140625" style="2"/>
    <col min="9101" max="9101" width="6.4140625" style="1"/>
    <col min="9102" max="9102" width="6.4140625" style="2"/>
    <col min="9103" max="9103" width="6.4140625" style="3"/>
    <col min="9104" max="9104" width="6.4140625" style="2"/>
    <col min="9105" max="9105" width="6.4140625" style="3"/>
    <col min="9106" max="9107" width="6.4140625" style="2"/>
    <col min="9108" max="9108" width="6.4140625" style="1"/>
    <col min="9109" max="9109" width="6.4140625" style="2"/>
    <col min="9110" max="9110" width="6.4140625" style="3"/>
    <col min="9111" max="9111" width="6.4140625" style="2"/>
    <col min="9112" max="9112" width="6.4140625" style="3"/>
    <col min="9113" max="9114" width="6.4140625" style="2"/>
    <col min="9115" max="9115" width="6.4140625" style="1"/>
    <col min="9116" max="9116" width="6.4140625" style="2"/>
    <col min="9117" max="9117" width="6.4140625" style="3"/>
    <col min="9118" max="9118" width="6.4140625" style="2"/>
    <col min="9119" max="9119" width="6.4140625" style="3"/>
    <col min="9120" max="9121" width="6.4140625" style="2"/>
    <col min="9122" max="9122" width="6.4140625" style="1"/>
    <col min="9123" max="9123" width="6.4140625" style="2"/>
    <col min="9124" max="9124" width="6.4140625" style="3"/>
    <col min="9125" max="9125" width="6.4140625" style="2"/>
    <col min="9126" max="9126" width="6.4140625" style="3"/>
    <col min="9127" max="9128" width="6.4140625" style="2"/>
    <col min="9129" max="9129" width="6.4140625" style="1"/>
    <col min="9130" max="9130" width="6.4140625" style="2"/>
    <col min="9131" max="9131" width="6.4140625" style="3"/>
    <col min="9132" max="9132" width="6.4140625" style="2"/>
    <col min="9133" max="9133" width="6.4140625" style="3"/>
    <col min="9134" max="9135" width="6.4140625" style="2"/>
    <col min="9136" max="9136" width="6.4140625" style="1"/>
    <col min="9137" max="9137" width="6.4140625" style="2"/>
    <col min="9138" max="9138" width="6.4140625" style="3"/>
    <col min="9139" max="9139" width="6.4140625" style="2"/>
    <col min="9140" max="9140" width="6.4140625" style="3"/>
    <col min="9141" max="9142" width="6.4140625" style="2"/>
    <col min="9143" max="9143" width="6.4140625" style="1"/>
    <col min="9144" max="9144" width="6.4140625" style="2"/>
    <col min="9145" max="9145" width="6.4140625" style="3"/>
    <col min="9146" max="9146" width="6.4140625" style="2"/>
    <col min="9147" max="9147" width="6.4140625" style="3"/>
    <col min="9148" max="9149" width="6.4140625" style="2"/>
    <col min="9150" max="9150" width="6.4140625" style="1"/>
    <col min="9151" max="9151" width="6.4140625" style="2"/>
    <col min="9152" max="9152" width="6.4140625" style="3"/>
    <col min="9153" max="9153" width="6.4140625" style="2"/>
    <col min="9154" max="9154" width="6.4140625" style="3"/>
    <col min="9155" max="9156" width="6.4140625" style="2"/>
    <col min="9157" max="9157" width="6.4140625" style="1"/>
    <col min="9158" max="9158" width="6.4140625" style="2"/>
    <col min="9159" max="9159" width="6.4140625" style="3"/>
    <col min="9160" max="9160" width="6.4140625" style="2"/>
    <col min="9161" max="9161" width="6.4140625" style="3"/>
    <col min="9162" max="9163" width="6.4140625" style="2"/>
    <col min="9164" max="9164" width="6.4140625" style="1"/>
    <col min="9165" max="9165" width="6.4140625" style="2"/>
    <col min="9166" max="9166" width="6.4140625" style="3"/>
    <col min="9167" max="9167" width="6.4140625" style="2"/>
    <col min="9168" max="9168" width="6.4140625" style="3"/>
    <col min="9169" max="9170" width="6.4140625" style="2"/>
    <col min="9171" max="9171" width="6.4140625" style="1"/>
    <col min="9172" max="9172" width="6.4140625" style="2"/>
    <col min="9173" max="9173" width="6.4140625" style="3"/>
    <col min="9174" max="9174" width="6.4140625" style="2"/>
    <col min="9175" max="9175" width="6.4140625" style="3"/>
    <col min="9176" max="9177" width="6.4140625" style="2"/>
    <col min="9178" max="9178" width="6.4140625" style="1"/>
    <col min="9179" max="9179" width="6.4140625" style="2"/>
    <col min="9180" max="9180" width="6.4140625" style="3"/>
    <col min="9181" max="9181" width="6.4140625" style="2"/>
    <col min="9182" max="9182" width="6.4140625" style="3"/>
    <col min="9183" max="9184" width="6.4140625" style="2"/>
    <col min="9185" max="9185" width="6.4140625" style="1"/>
    <col min="9186" max="9186" width="6.4140625" style="2"/>
    <col min="9187" max="9187" width="6.4140625" style="3"/>
    <col min="9188" max="9188" width="6.4140625" style="2"/>
    <col min="9189" max="9189" width="6.4140625" style="3"/>
    <col min="9190" max="9191" width="6.4140625" style="2"/>
    <col min="9192" max="9192" width="6.4140625" style="1"/>
    <col min="9193" max="9193" width="6.4140625" style="2"/>
    <col min="9194" max="9194" width="6.4140625" style="3"/>
    <col min="9195" max="9195" width="6.4140625" style="2"/>
    <col min="9196" max="9196" width="6.4140625" style="3"/>
    <col min="9197" max="9198" width="6.4140625" style="2"/>
    <col min="9199" max="9199" width="6.4140625" style="1"/>
    <col min="9200" max="9200" width="6.4140625" style="2"/>
    <col min="9201" max="9201" width="6.4140625" style="3"/>
    <col min="9202" max="9202" width="6.4140625" style="2"/>
    <col min="9203" max="9203" width="6.4140625" style="3"/>
    <col min="9204" max="9205" width="6.4140625" style="2"/>
    <col min="9206" max="9206" width="6.4140625" style="1"/>
    <col min="9207" max="9207" width="6.4140625" style="2"/>
    <col min="9208" max="9208" width="6.4140625" style="3"/>
    <col min="9209" max="9209" width="6.4140625" style="2"/>
    <col min="9210" max="9210" width="6.4140625" style="3"/>
    <col min="9211" max="9212" width="6.4140625" style="2"/>
    <col min="9213" max="9213" width="6.4140625" style="1"/>
    <col min="9214" max="9214" width="6.4140625" style="2"/>
    <col min="9215" max="9215" width="6.4140625" style="3"/>
    <col min="9216" max="9216" width="6.4140625" style="2"/>
    <col min="9217" max="9217" width="6.4140625" style="3"/>
    <col min="9218" max="9219" width="6.4140625" style="2"/>
    <col min="9220" max="9220" width="6.4140625" style="1"/>
    <col min="9221" max="9221" width="6.4140625" style="2"/>
    <col min="9222" max="9222" width="6.4140625" style="3"/>
    <col min="9223" max="9223" width="6.4140625" style="2"/>
    <col min="9224" max="9224" width="6.4140625" style="3"/>
    <col min="9225" max="9226" width="6.4140625" style="2"/>
    <col min="9227" max="9227" width="6.4140625" style="1"/>
    <col min="9228" max="9228" width="6.4140625" style="2"/>
    <col min="9229" max="9229" width="6.4140625" style="3"/>
    <col min="9230" max="9230" width="6.4140625" style="2"/>
    <col min="9231" max="9231" width="6.4140625" style="3"/>
    <col min="9232" max="9233" width="6.4140625" style="2"/>
    <col min="9234" max="9234" width="6.4140625" style="1"/>
    <col min="9235" max="9235" width="6.4140625" style="2"/>
    <col min="9236" max="9236" width="6.4140625" style="3"/>
    <col min="9237" max="9237" width="6.4140625" style="2"/>
    <col min="9238" max="9238" width="6.4140625" style="3"/>
    <col min="9239" max="9240" width="6.4140625" style="2"/>
    <col min="9241" max="9241" width="6.4140625" style="1"/>
    <col min="9242" max="9242" width="6.4140625" style="2"/>
    <col min="9243" max="9243" width="6.4140625" style="3"/>
    <col min="9244" max="9244" width="6.4140625" style="2"/>
    <col min="9245" max="9245" width="6.4140625" style="3"/>
    <col min="9246" max="9247" width="6.4140625" style="2"/>
    <col min="9248" max="9248" width="6.4140625" style="1"/>
    <col min="9249" max="9249" width="6.4140625" style="2"/>
    <col min="9250" max="9250" width="6.4140625" style="3"/>
    <col min="9251" max="9251" width="6.4140625" style="2"/>
    <col min="9252" max="9252" width="6.4140625" style="3"/>
    <col min="9253" max="9254" width="6.4140625" style="2"/>
    <col min="9255" max="9255" width="6.4140625" style="1"/>
    <col min="9256" max="9256" width="6.4140625" style="2"/>
    <col min="9257" max="9257" width="6.4140625" style="3"/>
    <col min="9258" max="9258" width="6.4140625" style="2"/>
    <col min="9259" max="9259" width="6.4140625" style="3"/>
    <col min="9260" max="9261" width="6.4140625" style="2"/>
    <col min="9262" max="9262" width="6.4140625" style="1"/>
    <col min="9263" max="9263" width="6.4140625" style="2"/>
    <col min="9264" max="9264" width="6.4140625" style="3"/>
    <col min="9265" max="9265" width="6.4140625" style="2"/>
    <col min="9266" max="9266" width="6.4140625" style="3"/>
    <col min="9267" max="9268" width="6.4140625" style="2"/>
    <col min="9269" max="9269" width="6.4140625" style="1"/>
    <col min="9270" max="9270" width="6.4140625" style="2"/>
    <col min="9271" max="9271" width="6.4140625" style="3"/>
    <col min="9272" max="9272" width="6.4140625" style="2"/>
    <col min="9273" max="9273" width="6.4140625" style="3"/>
    <col min="9274" max="9275" width="6.4140625" style="2"/>
    <col min="9276" max="9276" width="6.4140625" style="1"/>
    <col min="9277" max="9277" width="6.4140625" style="2"/>
    <col min="9278" max="9278" width="6.4140625" style="3"/>
    <col min="9279" max="9279" width="6.4140625" style="2"/>
    <col min="9280" max="9280" width="6.4140625" style="3"/>
    <col min="9281" max="9282" width="6.4140625" style="2"/>
    <col min="9283" max="9283" width="6.4140625" style="1"/>
    <col min="9284" max="9284" width="6.4140625" style="2"/>
    <col min="9285" max="9285" width="6.4140625" style="3"/>
    <col min="9286" max="9286" width="6.4140625" style="2"/>
    <col min="9287" max="9287" width="6.4140625" style="3"/>
    <col min="9288" max="9289" width="6.4140625" style="2"/>
    <col min="9290" max="9290" width="6.4140625" style="1"/>
    <col min="9291" max="9291" width="6.4140625" style="2"/>
    <col min="9292" max="9292" width="6.4140625" style="3"/>
    <col min="9293" max="9293" width="6.4140625" style="2"/>
    <col min="9294" max="9294" width="6.4140625" style="3"/>
    <col min="9295" max="9296" width="6.4140625" style="2"/>
    <col min="9297" max="9297" width="6.4140625" style="1"/>
    <col min="9298" max="9298" width="6.4140625" style="2"/>
    <col min="9299" max="9299" width="6.4140625" style="3"/>
    <col min="9300" max="9300" width="6.4140625" style="2"/>
    <col min="9301" max="9301" width="6.4140625" style="3"/>
    <col min="9302" max="9303" width="6.4140625" style="2"/>
    <col min="9304" max="9304" width="6.4140625" style="1"/>
    <col min="9305" max="9305" width="6.4140625" style="2"/>
    <col min="9306" max="9306" width="6.4140625" style="3"/>
    <col min="9307" max="9307" width="6.4140625" style="2"/>
    <col min="9308" max="9308" width="6.4140625" style="3"/>
    <col min="9309" max="9310" width="6.4140625" style="2"/>
    <col min="9311" max="9311" width="6.4140625" style="1"/>
    <col min="9312" max="9312" width="6.4140625" style="2"/>
    <col min="9313" max="9313" width="6.4140625" style="3"/>
    <col min="9314" max="9314" width="6.4140625" style="2"/>
    <col min="9315" max="9315" width="6.4140625" style="3"/>
    <col min="9316" max="9317" width="6.4140625" style="2"/>
    <col min="9318" max="9318" width="6.4140625" style="1"/>
    <col min="9319" max="9319" width="6.4140625" style="2"/>
    <col min="9320" max="9320" width="6.4140625" style="3"/>
    <col min="9321" max="9321" width="6.4140625" style="2"/>
    <col min="9322" max="9322" width="6.4140625" style="3"/>
    <col min="9323" max="9324" width="6.4140625" style="2"/>
    <col min="9325" max="9325" width="6.4140625" style="1"/>
    <col min="9326" max="9326" width="6.4140625" style="2"/>
    <col min="9327" max="9327" width="6.4140625" style="3"/>
    <col min="9328" max="9328" width="6.4140625" style="2"/>
    <col min="9329" max="9329" width="6.4140625" style="3"/>
    <col min="9330" max="9331" width="6.4140625" style="2"/>
    <col min="9332" max="9332" width="6.4140625" style="1"/>
    <col min="9333" max="9333" width="6.4140625" style="2"/>
    <col min="9334" max="9334" width="6.4140625" style="3"/>
    <col min="9335" max="9335" width="6.4140625" style="2"/>
    <col min="9336" max="9336" width="6.4140625" style="3"/>
    <col min="9337" max="9338" width="6.4140625" style="2"/>
    <col min="9339" max="9339" width="6.4140625" style="1"/>
    <col min="9340" max="9340" width="6.4140625" style="2"/>
    <col min="9341" max="9341" width="6.4140625" style="3"/>
    <col min="9342" max="9342" width="6.4140625" style="2"/>
    <col min="9343" max="9343" width="6.4140625" style="3"/>
    <col min="9344" max="9345" width="6.4140625" style="2"/>
    <col min="9346" max="9346" width="6.4140625" style="1"/>
    <col min="9347" max="9347" width="6.4140625" style="2"/>
    <col min="9348" max="9348" width="6.4140625" style="3"/>
    <col min="9349" max="9349" width="6.4140625" style="2"/>
    <col min="9350" max="9350" width="6.4140625" style="3"/>
    <col min="9351" max="9352" width="6.4140625" style="2"/>
    <col min="9353" max="9353" width="6.4140625" style="1"/>
    <col min="9354" max="9354" width="6.4140625" style="2"/>
    <col min="9355" max="9355" width="6.4140625" style="3"/>
    <col min="9356" max="9356" width="6.4140625" style="2"/>
    <col min="9357" max="9357" width="6.4140625" style="3"/>
    <col min="9358" max="9359" width="6.4140625" style="2"/>
    <col min="9360" max="9360" width="6.4140625" style="1"/>
    <col min="9361" max="9361" width="6.4140625" style="2"/>
    <col min="9362" max="9362" width="6.4140625" style="3"/>
    <col min="9363" max="9363" width="6.4140625" style="2"/>
    <col min="9364" max="9364" width="6.4140625" style="3"/>
    <col min="9365" max="9366" width="6.4140625" style="2"/>
    <col min="9367" max="9367" width="6.4140625" style="1"/>
    <col min="9368" max="9368" width="6.4140625" style="2"/>
    <col min="9369" max="9369" width="6.4140625" style="3"/>
    <col min="9370" max="9370" width="6.4140625" style="2"/>
    <col min="9371" max="9371" width="6.4140625" style="3"/>
    <col min="9372" max="9373" width="6.4140625" style="2"/>
    <col min="9374" max="9374" width="6.4140625" style="1"/>
    <col min="9375" max="9375" width="6.4140625" style="2"/>
    <col min="9376" max="9376" width="6.4140625" style="3"/>
    <col min="9377" max="9377" width="6.4140625" style="2"/>
    <col min="9378" max="9378" width="6.4140625" style="3"/>
    <col min="9379" max="9380" width="6.4140625" style="2"/>
    <col min="9381" max="9381" width="6.4140625" style="1"/>
    <col min="9382" max="9382" width="6.4140625" style="2"/>
    <col min="9383" max="9383" width="6.4140625" style="3"/>
    <col min="9384" max="9384" width="6.4140625" style="2"/>
    <col min="9385" max="9385" width="6.4140625" style="3"/>
    <col min="9386" max="9387" width="6.4140625" style="2"/>
    <col min="9388" max="9388" width="6.4140625" style="1"/>
    <col min="9389" max="9389" width="6.4140625" style="2"/>
    <col min="9390" max="9390" width="6.4140625" style="3"/>
    <col min="9391" max="9391" width="6.4140625" style="2"/>
    <col min="9392" max="9392" width="6.4140625" style="3"/>
    <col min="9393" max="9394" width="6.4140625" style="2"/>
    <col min="9395" max="9395" width="6.4140625" style="1"/>
    <col min="9396" max="9396" width="6.4140625" style="2"/>
    <col min="9397" max="9397" width="6.4140625" style="3"/>
    <col min="9398" max="9398" width="6.4140625" style="2"/>
    <col min="9399" max="9399" width="6.4140625" style="3"/>
    <col min="9400" max="9401" width="6.4140625" style="2"/>
    <col min="9402" max="9402" width="6.4140625" style="1"/>
    <col min="9403" max="9403" width="6.4140625" style="2"/>
    <col min="9404" max="9404" width="6.4140625" style="3"/>
    <col min="9405" max="9405" width="6.4140625" style="2"/>
    <col min="9406" max="9406" width="6.4140625" style="3"/>
    <col min="9407" max="9408" width="6.4140625" style="2"/>
    <col min="9409" max="9409" width="6.4140625" style="1"/>
    <col min="9410" max="9410" width="6.4140625" style="2"/>
    <col min="9411" max="9411" width="6.4140625" style="3"/>
    <col min="9412" max="9412" width="6.4140625" style="2"/>
    <col min="9413" max="9413" width="6.4140625" style="3"/>
    <col min="9414" max="9415" width="6.4140625" style="2"/>
    <col min="9416" max="9416" width="6.4140625" style="1"/>
    <col min="9417" max="9417" width="6.4140625" style="2"/>
    <col min="9418" max="9418" width="6.4140625" style="3"/>
    <col min="9419" max="9419" width="6.4140625" style="2"/>
    <col min="9420" max="9420" width="6.4140625" style="3"/>
    <col min="9421" max="9422" width="6.4140625" style="2"/>
    <col min="9423" max="9423" width="6.4140625" style="1"/>
    <col min="9424" max="9424" width="6.4140625" style="2"/>
    <col min="9425" max="9425" width="6.4140625" style="3"/>
    <col min="9426" max="9426" width="6.4140625" style="2"/>
    <col min="9427" max="9427" width="6.4140625" style="3"/>
    <col min="9428" max="9429" width="6.4140625" style="2"/>
    <col min="9430" max="9430" width="6.4140625" style="1"/>
    <col min="9431" max="9431" width="6.4140625" style="2"/>
    <col min="9432" max="9432" width="6.4140625" style="3"/>
    <col min="9433" max="9433" width="6.4140625" style="2"/>
    <col min="9434" max="9434" width="6.4140625" style="3"/>
    <col min="9435" max="9436" width="6.4140625" style="2"/>
    <col min="9437" max="9437" width="6.4140625" style="1"/>
    <col min="9438" max="9438" width="6.4140625" style="2"/>
    <col min="9439" max="9439" width="6.4140625" style="3"/>
    <col min="9440" max="9440" width="6.4140625" style="2"/>
    <col min="9441" max="9441" width="6.4140625" style="3"/>
    <col min="9442" max="9443" width="6.4140625" style="2"/>
    <col min="9444" max="9444" width="6.4140625" style="1"/>
    <col min="9445" max="9445" width="6.4140625" style="2"/>
    <col min="9446" max="9446" width="6.4140625" style="3"/>
    <col min="9447" max="9447" width="6.4140625" style="2"/>
    <col min="9448" max="9448" width="6.4140625" style="3"/>
    <col min="9449" max="9450" width="6.4140625" style="2"/>
    <col min="9451" max="9451" width="6.4140625" style="1"/>
    <col min="9452" max="9452" width="6.4140625" style="2"/>
    <col min="9453" max="9453" width="6.4140625" style="3"/>
    <col min="9454" max="9454" width="6.4140625" style="2"/>
    <col min="9455" max="9455" width="6.4140625" style="3"/>
    <col min="9456" max="9457" width="6.4140625" style="2"/>
    <col min="9458" max="9458" width="6.4140625" style="1"/>
    <col min="9459" max="9459" width="6.4140625" style="2"/>
    <col min="9460" max="9460" width="6.4140625" style="3"/>
    <col min="9461" max="9461" width="6.4140625" style="2"/>
    <col min="9462" max="9462" width="6.4140625" style="3"/>
    <col min="9463" max="9464" width="6.4140625" style="2"/>
    <col min="9465" max="9465" width="6.4140625" style="1"/>
    <col min="9466" max="9466" width="6.4140625" style="2"/>
    <col min="9467" max="9467" width="6.4140625" style="3"/>
    <col min="9468" max="9468" width="6.4140625" style="2"/>
    <col min="9469" max="9469" width="6.4140625" style="3"/>
    <col min="9470" max="9471" width="6.4140625" style="2"/>
    <col min="9472" max="9472" width="6.4140625" style="1"/>
    <col min="9473" max="9473" width="6.4140625" style="2"/>
    <col min="9474" max="9474" width="6.4140625" style="3"/>
    <col min="9475" max="9475" width="6.4140625" style="2"/>
    <col min="9476" max="9476" width="6.4140625" style="3"/>
    <col min="9477" max="9478" width="6.4140625" style="2"/>
    <col min="9479" max="9479" width="6.4140625" style="1"/>
    <col min="9480" max="9480" width="6.4140625" style="2"/>
    <col min="9481" max="9481" width="6.4140625" style="3"/>
    <col min="9482" max="9482" width="6.4140625" style="2"/>
    <col min="9483" max="9483" width="6.4140625" style="3"/>
    <col min="9484" max="9485" width="6.4140625" style="2"/>
    <col min="9486" max="9486" width="6.4140625" style="1"/>
    <col min="9487" max="9487" width="6.4140625" style="2"/>
    <col min="9488" max="9488" width="6.4140625" style="3"/>
    <col min="9489" max="9489" width="6.4140625" style="2"/>
    <col min="9490" max="9490" width="6.4140625" style="3"/>
    <col min="9491" max="9492" width="6.4140625" style="2"/>
    <col min="9493" max="9493" width="6.4140625" style="1"/>
    <col min="9494" max="9494" width="6.4140625" style="2"/>
    <col min="9495" max="9495" width="6.4140625" style="3"/>
    <col min="9496" max="9496" width="6.4140625" style="2"/>
    <col min="9497" max="9497" width="6.4140625" style="3"/>
    <col min="9498" max="9499" width="6.4140625" style="2"/>
    <col min="9500" max="9500" width="6.4140625" style="1"/>
    <col min="9501" max="9501" width="6.4140625" style="2"/>
    <col min="9502" max="9502" width="6.4140625" style="3"/>
    <col min="9503" max="9503" width="6.4140625" style="2"/>
    <col min="9504" max="9504" width="6.4140625" style="3"/>
    <col min="9505" max="9506" width="6.4140625" style="2"/>
    <col min="9507" max="9507" width="6.4140625" style="1"/>
    <col min="9508" max="9508" width="6.4140625" style="2"/>
    <col min="9509" max="9509" width="6.4140625" style="3"/>
    <col min="9510" max="9510" width="6.4140625" style="2"/>
    <col min="9511" max="9511" width="6.4140625" style="3"/>
    <col min="9512" max="9513" width="6.4140625" style="2"/>
    <col min="9514" max="9514" width="6.4140625" style="1"/>
    <col min="9515" max="9515" width="6.4140625" style="2"/>
    <col min="9516" max="9516" width="6.4140625" style="3"/>
    <col min="9517" max="9517" width="6.4140625" style="2"/>
    <col min="9518" max="9518" width="6.4140625" style="3"/>
    <col min="9519" max="9520" width="6.4140625" style="2"/>
    <col min="9521" max="9521" width="6.4140625" style="1"/>
    <col min="9522" max="9522" width="6.4140625" style="2"/>
    <col min="9523" max="9523" width="6.4140625" style="3"/>
    <col min="9524" max="9524" width="6.4140625" style="2"/>
    <col min="9525" max="9525" width="6.4140625" style="3"/>
    <col min="9526" max="9527" width="6.4140625" style="2"/>
    <col min="9528" max="9528" width="6.4140625" style="1"/>
    <col min="9529" max="9529" width="6.4140625" style="2"/>
    <col min="9530" max="9530" width="6.4140625" style="3"/>
    <col min="9531" max="9531" width="6.4140625" style="2"/>
    <col min="9532" max="9532" width="6.4140625" style="3"/>
    <col min="9533" max="9534" width="6.4140625" style="2"/>
    <col min="9535" max="9535" width="6.4140625" style="1"/>
    <col min="9536" max="9536" width="6.4140625" style="2"/>
    <col min="9537" max="9537" width="6.4140625" style="3"/>
    <col min="9538" max="9538" width="6.4140625" style="2"/>
    <col min="9539" max="9539" width="6.4140625" style="3"/>
    <col min="9540" max="9541" width="6.4140625" style="2"/>
    <col min="9542" max="9542" width="6.4140625" style="1"/>
    <col min="9543" max="9543" width="6.4140625" style="2"/>
    <col min="9544" max="9544" width="6.4140625" style="3"/>
    <col min="9545" max="9545" width="6.4140625" style="2"/>
    <col min="9546" max="9546" width="6.4140625" style="3"/>
    <col min="9547" max="9548" width="6.4140625" style="2"/>
    <col min="9549" max="9549" width="6.4140625" style="1"/>
    <col min="9550" max="9550" width="6.4140625" style="2"/>
    <col min="9551" max="9551" width="6.4140625" style="3"/>
    <col min="9552" max="9552" width="6.4140625" style="2"/>
    <col min="9553" max="9553" width="6.4140625" style="3"/>
    <col min="9554" max="9555" width="6.4140625" style="2"/>
    <col min="9556" max="9556" width="6.4140625" style="1"/>
    <col min="9557" max="9557" width="6.4140625" style="2"/>
    <col min="9558" max="9558" width="6.4140625" style="3"/>
    <col min="9559" max="9559" width="6.4140625" style="2"/>
    <col min="9560" max="9560" width="6.4140625" style="3"/>
    <col min="9561" max="9562" width="6.4140625" style="2"/>
    <col min="9563" max="9563" width="6.4140625" style="1"/>
    <col min="9564" max="9564" width="6.4140625" style="2"/>
    <col min="9565" max="9565" width="6.4140625" style="3"/>
    <col min="9566" max="9566" width="6.4140625" style="2"/>
    <col min="9567" max="9567" width="6.4140625" style="3"/>
    <col min="9568" max="9569" width="6.4140625" style="2"/>
    <col min="9570" max="9570" width="6.4140625" style="1"/>
    <col min="9571" max="9571" width="6.4140625" style="2"/>
    <col min="9572" max="9572" width="6.4140625" style="3"/>
    <col min="9573" max="9573" width="6.4140625" style="2"/>
    <col min="9574" max="9574" width="6.4140625" style="3"/>
    <col min="9575" max="9576" width="6.4140625" style="2"/>
    <col min="9577" max="9577" width="6.4140625" style="1"/>
    <col min="9578" max="9578" width="6.4140625" style="2"/>
    <col min="9579" max="9579" width="6.4140625" style="3"/>
    <col min="9580" max="9580" width="6.4140625" style="2"/>
    <col min="9581" max="9581" width="6.4140625" style="3"/>
    <col min="9582" max="9583" width="6.4140625" style="2"/>
    <col min="9584" max="9584" width="6.4140625" style="1"/>
    <col min="9585" max="9585" width="6.4140625" style="2"/>
    <col min="9586" max="9586" width="6.4140625" style="3"/>
    <col min="9587" max="9587" width="6.4140625" style="2"/>
    <col min="9588" max="9588" width="6.4140625" style="3"/>
    <col min="9589" max="9590" width="6.4140625" style="2"/>
    <col min="9591" max="9591" width="6.4140625" style="1"/>
    <col min="9592" max="9592" width="6.4140625" style="2"/>
    <col min="9593" max="9593" width="6.4140625" style="3"/>
    <col min="9594" max="9594" width="6.4140625" style="2"/>
    <col min="9595" max="9595" width="6.4140625" style="3"/>
    <col min="9596" max="9597" width="6.4140625" style="2"/>
    <col min="9598" max="9598" width="6.4140625" style="1"/>
    <col min="9599" max="9599" width="6.4140625" style="2"/>
    <col min="9600" max="9600" width="6.4140625" style="3"/>
    <col min="9601" max="9601" width="6.4140625" style="2"/>
    <col min="9602" max="9602" width="6.4140625" style="3"/>
    <col min="9603" max="9604" width="6.4140625" style="2"/>
    <col min="9605" max="9605" width="6.4140625" style="1"/>
    <col min="9606" max="9606" width="6.4140625" style="2"/>
    <col min="9607" max="9607" width="6.4140625" style="3"/>
    <col min="9608" max="9608" width="6.4140625" style="2"/>
    <col min="9609" max="9609" width="6.4140625" style="3"/>
    <col min="9610" max="9611" width="6.4140625" style="2"/>
    <col min="9612" max="9612" width="6.4140625" style="1"/>
    <col min="9613" max="9613" width="6.4140625" style="2"/>
    <col min="9614" max="9614" width="6.4140625" style="3"/>
    <col min="9615" max="9615" width="6.4140625" style="2"/>
    <col min="9616" max="9616" width="6.4140625" style="3"/>
    <col min="9617" max="9618" width="6.4140625" style="2"/>
    <col min="9619" max="9619" width="6.4140625" style="1"/>
    <col min="9620" max="9620" width="6.4140625" style="2"/>
    <col min="9621" max="9621" width="6.4140625" style="3"/>
    <col min="9622" max="9622" width="6.4140625" style="2"/>
    <col min="9623" max="9623" width="6.4140625" style="3"/>
    <col min="9624" max="9625" width="6.4140625" style="2"/>
    <col min="9626" max="9626" width="6.4140625" style="1"/>
    <col min="9627" max="9627" width="6.4140625" style="2"/>
    <col min="9628" max="9628" width="6.4140625" style="3"/>
    <col min="9629" max="9629" width="6.4140625" style="2"/>
    <col min="9630" max="9630" width="6.4140625" style="3"/>
    <col min="9631" max="9632" width="6.4140625" style="2"/>
    <col min="9633" max="9633" width="6.4140625" style="1"/>
    <col min="9634" max="9634" width="6.4140625" style="2"/>
    <col min="9635" max="9635" width="6.4140625" style="3"/>
    <col min="9636" max="9636" width="6.4140625" style="2"/>
    <col min="9637" max="9637" width="6.4140625" style="3"/>
    <col min="9638" max="9639" width="6.4140625" style="2"/>
    <col min="9640" max="9640" width="6.4140625" style="1"/>
    <col min="9641" max="9641" width="6.4140625" style="2"/>
    <col min="9642" max="9642" width="6.4140625" style="3"/>
    <col min="9643" max="9643" width="6.4140625" style="2"/>
    <col min="9644" max="9644" width="6.4140625" style="3"/>
    <col min="9645" max="9646" width="6.4140625" style="2"/>
    <col min="9647" max="9647" width="6.4140625" style="1"/>
    <col min="9648" max="9648" width="6.4140625" style="2"/>
    <col min="9649" max="9649" width="6.4140625" style="3"/>
    <col min="9650" max="9650" width="6.4140625" style="2"/>
    <col min="9651" max="9651" width="6.4140625" style="3"/>
    <col min="9652" max="9653" width="6.4140625" style="2"/>
    <col min="9654" max="9654" width="6.4140625" style="1"/>
    <col min="9655" max="9655" width="6.4140625" style="2"/>
    <col min="9656" max="9656" width="6.4140625" style="3"/>
    <col min="9657" max="9657" width="6.4140625" style="2"/>
    <col min="9658" max="9658" width="6.4140625" style="3"/>
    <col min="9659" max="9660" width="6.4140625" style="2"/>
    <col min="9661" max="9661" width="6.4140625" style="1"/>
    <col min="9662" max="9662" width="6.4140625" style="2"/>
    <col min="9663" max="9663" width="6.4140625" style="3"/>
    <col min="9664" max="9664" width="6.4140625" style="2"/>
    <col min="9665" max="9665" width="6.4140625" style="3"/>
    <col min="9666" max="9667" width="6.4140625" style="2"/>
    <col min="9668" max="9668" width="6.4140625" style="1"/>
    <col min="9669" max="9669" width="6.4140625" style="2"/>
    <col min="9670" max="9670" width="6.4140625" style="3"/>
    <col min="9671" max="9671" width="6.4140625" style="2"/>
    <col min="9672" max="9672" width="6.4140625" style="3"/>
    <col min="9673" max="9674" width="6.4140625" style="2"/>
    <col min="9675" max="9675" width="6.4140625" style="1"/>
    <col min="9676" max="9676" width="6.4140625" style="2"/>
    <col min="9677" max="9677" width="6.4140625" style="3"/>
    <col min="9678" max="9678" width="6.4140625" style="2"/>
    <col min="9679" max="9679" width="6.4140625" style="3"/>
    <col min="9680" max="9681" width="6.4140625" style="2"/>
    <col min="9682" max="9682" width="6.4140625" style="1"/>
    <col min="9683" max="9683" width="6.4140625" style="2"/>
    <col min="9684" max="9684" width="6.4140625" style="3"/>
    <col min="9685" max="9685" width="6.4140625" style="2"/>
    <col min="9686" max="9686" width="6.4140625" style="3"/>
    <col min="9687" max="9688" width="6.4140625" style="2"/>
    <col min="9689" max="9689" width="6.4140625" style="1"/>
    <col min="9690" max="9690" width="6.4140625" style="2"/>
    <col min="9691" max="9691" width="6.4140625" style="3"/>
    <col min="9692" max="9692" width="6.4140625" style="2"/>
    <col min="9693" max="9693" width="6.4140625" style="3"/>
    <col min="9694" max="9695" width="6.4140625" style="2"/>
    <col min="9696" max="9696" width="6.4140625" style="1"/>
    <col min="9697" max="9697" width="6.4140625" style="2"/>
    <col min="9698" max="9698" width="6.4140625" style="3"/>
    <col min="9699" max="9699" width="6.4140625" style="2"/>
    <col min="9700" max="9700" width="6.4140625" style="3"/>
    <col min="9701" max="9702" width="6.4140625" style="2"/>
    <col min="9703" max="9703" width="6.4140625" style="1"/>
    <col min="9704" max="9704" width="6.4140625" style="2"/>
    <col min="9705" max="9705" width="6.4140625" style="3"/>
    <col min="9706" max="9706" width="6.4140625" style="2"/>
    <col min="9707" max="9707" width="6.4140625" style="3"/>
    <col min="9708" max="9709" width="6.4140625" style="2"/>
    <col min="9710" max="9710" width="6.4140625" style="1"/>
    <col min="9711" max="9711" width="6.4140625" style="2"/>
    <col min="9712" max="9712" width="6.4140625" style="3"/>
    <col min="9713" max="9713" width="6.4140625" style="2"/>
    <col min="9714" max="9714" width="6.4140625" style="3"/>
    <col min="9715" max="9716" width="6.4140625" style="2"/>
    <col min="9717" max="9717" width="6.4140625" style="1"/>
    <col min="9718" max="9718" width="6.4140625" style="2"/>
    <col min="9719" max="9719" width="6.4140625" style="3"/>
    <col min="9720" max="9720" width="6.4140625" style="2"/>
    <col min="9721" max="9721" width="6.4140625" style="3"/>
    <col min="9722" max="9723" width="6.4140625" style="2"/>
    <col min="9724" max="9724" width="6.4140625" style="1"/>
    <col min="9725" max="9725" width="6.4140625" style="2"/>
    <col min="9726" max="9726" width="6.4140625" style="3"/>
    <col min="9727" max="9727" width="6.4140625" style="2"/>
    <col min="9728" max="9728" width="6.4140625" style="3"/>
    <col min="9729" max="9730" width="6.4140625" style="2"/>
    <col min="9731" max="9731" width="6.4140625" style="1"/>
    <col min="9732" max="9732" width="6.4140625" style="2"/>
    <col min="9733" max="9733" width="6.4140625" style="3"/>
    <col min="9734" max="9734" width="6.4140625" style="2"/>
    <col min="9735" max="9735" width="6.4140625" style="3"/>
    <col min="9736" max="9737" width="6.4140625" style="2"/>
    <col min="9738" max="9738" width="6.4140625" style="1"/>
    <col min="9739" max="9739" width="6.4140625" style="2"/>
    <col min="9740" max="9740" width="6.4140625" style="3"/>
    <col min="9741" max="9741" width="6.4140625" style="2"/>
    <col min="9742" max="9742" width="6.4140625" style="3"/>
    <col min="9743" max="9744" width="6.4140625" style="2"/>
    <col min="9745" max="9745" width="6.4140625" style="1"/>
    <col min="9746" max="9746" width="6.4140625" style="2"/>
    <col min="9747" max="9747" width="6.4140625" style="3"/>
    <col min="9748" max="9748" width="6.4140625" style="2"/>
    <col min="9749" max="9749" width="6.4140625" style="3"/>
    <col min="9750" max="9751" width="6.4140625" style="2"/>
    <col min="9752" max="9752" width="6.4140625" style="1"/>
    <col min="9753" max="9753" width="6.4140625" style="2"/>
    <col min="9754" max="9754" width="6.4140625" style="3"/>
    <col min="9755" max="9755" width="6.4140625" style="2"/>
    <col min="9756" max="9756" width="6.4140625" style="3"/>
    <col min="9757" max="9758" width="6.4140625" style="2"/>
    <col min="9759" max="9759" width="6.4140625" style="1"/>
    <col min="9760" max="9760" width="6.4140625" style="2"/>
    <col min="9761" max="9761" width="6.4140625" style="3"/>
    <col min="9762" max="9762" width="6.4140625" style="2"/>
    <col min="9763" max="9763" width="6.4140625" style="3"/>
    <col min="9764" max="9765" width="6.4140625" style="2"/>
    <col min="9766" max="9766" width="6.4140625" style="1"/>
    <col min="9767" max="9767" width="6.4140625" style="2"/>
    <col min="9768" max="9768" width="6.4140625" style="3"/>
    <col min="9769" max="9769" width="6.4140625" style="2"/>
    <col min="9770" max="9770" width="6.4140625" style="3"/>
    <col min="9771" max="9772" width="6.4140625" style="2"/>
    <col min="9773" max="9773" width="6.4140625" style="1"/>
    <col min="9774" max="9774" width="6.4140625" style="2"/>
    <col min="9775" max="9775" width="6.4140625" style="3"/>
    <col min="9776" max="9776" width="6.4140625" style="2"/>
    <col min="9777" max="9777" width="6.4140625" style="3"/>
    <col min="9778" max="9779" width="6.4140625" style="2"/>
    <col min="9780" max="9780" width="6.4140625" style="1"/>
    <col min="9781" max="9781" width="6.4140625" style="2"/>
    <col min="9782" max="9782" width="6.4140625" style="3"/>
    <col min="9783" max="9783" width="6.4140625" style="2"/>
    <col min="9784" max="9784" width="6.4140625" style="3"/>
    <col min="9785" max="9786" width="6.4140625" style="2"/>
    <col min="9787" max="9787" width="6.4140625" style="1"/>
    <col min="9788" max="9788" width="6.4140625" style="2"/>
    <col min="9789" max="9789" width="6.4140625" style="3"/>
    <col min="9790" max="9790" width="6.4140625" style="2"/>
    <col min="9791" max="9791" width="6.4140625" style="3"/>
    <col min="9792" max="9793" width="6.4140625" style="2"/>
    <col min="9794" max="9794" width="6.4140625" style="1"/>
    <col min="9795" max="9795" width="6.4140625" style="2"/>
    <col min="9796" max="9796" width="6.4140625" style="3"/>
    <col min="9797" max="9797" width="6.4140625" style="2"/>
    <col min="9798" max="9798" width="6.4140625" style="3"/>
    <col min="9799" max="9800" width="6.4140625" style="2"/>
    <col min="9801" max="9801" width="6.4140625" style="1"/>
    <col min="9802" max="9802" width="6.4140625" style="2"/>
    <col min="9803" max="9803" width="6.4140625" style="3"/>
    <col min="9804" max="9804" width="6.4140625" style="2"/>
    <col min="9805" max="9805" width="6.4140625" style="3"/>
    <col min="9806" max="9807" width="6.4140625" style="2"/>
    <col min="9808" max="9808" width="6.4140625" style="1"/>
    <col min="9809" max="9809" width="6.4140625" style="2"/>
    <col min="9810" max="9810" width="6.4140625" style="3"/>
    <col min="9811" max="9811" width="6.4140625" style="2"/>
    <col min="9812" max="9812" width="6.4140625" style="3"/>
    <col min="9813" max="9814" width="6.4140625" style="2"/>
    <col min="9815" max="9815" width="6.4140625" style="1"/>
    <col min="9816" max="9816" width="6.4140625" style="2"/>
    <col min="9817" max="9817" width="6.4140625" style="3"/>
    <col min="9818" max="9818" width="6.4140625" style="2"/>
    <col min="9819" max="9819" width="6.4140625" style="3"/>
    <col min="9820" max="9821" width="6.4140625" style="2"/>
    <col min="9822" max="9822" width="6.4140625" style="1"/>
    <col min="9823" max="9823" width="6.4140625" style="2"/>
    <col min="9824" max="9824" width="6.4140625" style="3"/>
    <col min="9825" max="9825" width="6.4140625" style="2"/>
    <col min="9826" max="9826" width="6.4140625" style="3"/>
    <col min="9827" max="9828" width="6.4140625" style="2"/>
    <col min="9829" max="9829" width="6.4140625" style="1"/>
    <col min="9830" max="9830" width="6.4140625" style="2"/>
    <col min="9831" max="9831" width="6.4140625" style="3"/>
    <col min="9832" max="9832" width="6.4140625" style="2"/>
    <col min="9833" max="9833" width="6.4140625" style="3"/>
    <col min="9834" max="9835" width="6.4140625" style="2"/>
    <col min="9836" max="9836" width="6.4140625" style="1"/>
    <col min="9837" max="9837" width="6.4140625" style="2"/>
    <col min="9838" max="9838" width="6.4140625" style="3"/>
    <col min="9839" max="9839" width="6.4140625" style="2"/>
    <col min="9840" max="9840" width="6.4140625" style="3"/>
    <col min="9841" max="9842" width="6.4140625" style="2"/>
    <col min="9843" max="9843" width="6.4140625" style="1"/>
    <col min="9844" max="9844" width="6.4140625" style="2"/>
    <col min="9845" max="9845" width="6.4140625" style="3"/>
    <col min="9846" max="9846" width="6.4140625" style="2"/>
    <col min="9847" max="9847" width="6.4140625" style="3"/>
    <col min="9848" max="9849" width="6.4140625" style="2"/>
    <col min="9850" max="9850" width="6.4140625" style="1"/>
    <col min="9851" max="9851" width="6.4140625" style="2"/>
    <col min="9852" max="9852" width="6.4140625" style="3"/>
    <col min="9853" max="9853" width="6.4140625" style="2"/>
    <col min="9854" max="9854" width="6.4140625" style="3"/>
    <col min="9855" max="9856" width="6.4140625" style="2"/>
    <col min="9857" max="9857" width="6.4140625" style="1"/>
    <col min="9858" max="9858" width="6.4140625" style="2"/>
    <col min="9859" max="9859" width="6.4140625" style="3"/>
    <col min="9860" max="9860" width="6.4140625" style="2"/>
    <col min="9861" max="9861" width="6.4140625" style="3"/>
    <col min="9862" max="9863" width="6.4140625" style="2"/>
    <col min="9864" max="9864" width="6.4140625" style="1"/>
    <col min="9865" max="9865" width="6.4140625" style="2"/>
    <col min="9866" max="9866" width="6.4140625" style="3"/>
    <col min="9867" max="9867" width="6.4140625" style="2"/>
    <col min="9868" max="9868" width="6.4140625" style="3"/>
    <col min="9869" max="9870" width="6.4140625" style="2"/>
    <col min="9871" max="9871" width="6.4140625" style="1"/>
    <col min="9872" max="9872" width="6.4140625" style="2"/>
    <col min="9873" max="9873" width="6.4140625" style="3"/>
    <col min="9874" max="9874" width="6.4140625" style="2"/>
    <col min="9875" max="9875" width="6.4140625" style="3"/>
    <col min="9876" max="9877" width="6.4140625" style="2"/>
    <col min="9878" max="9878" width="6.4140625" style="1"/>
    <col min="9879" max="9879" width="6.4140625" style="2"/>
    <col min="9880" max="9880" width="6.4140625" style="3"/>
    <col min="9881" max="9881" width="6.4140625" style="2"/>
    <col min="9882" max="9882" width="6.4140625" style="3"/>
    <col min="9883" max="9884" width="6.4140625" style="2"/>
    <col min="9885" max="9885" width="6.4140625" style="1"/>
    <col min="9886" max="9886" width="6.4140625" style="2"/>
    <col min="9887" max="9887" width="6.4140625" style="3"/>
    <col min="9888" max="9888" width="6.4140625" style="2"/>
    <col min="9889" max="9889" width="6.4140625" style="3"/>
    <col min="9890" max="9891" width="6.4140625" style="2"/>
    <col min="9892" max="9892" width="6.4140625" style="1"/>
    <col min="9893" max="9893" width="6.4140625" style="2"/>
    <col min="9894" max="9894" width="6.4140625" style="3"/>
    <col min="9895" max="9895" width="6.4140625" style="2"/>
    <col min="9896" max="9896" width="6.4140625" style="3"/>
    <col min="9897" max="9898" width="6.4140625" style="2"/>
    <col min="9899" max="9899" width="6.4140625" style="1"/>
    <col min="9900" max="9900" width="6.4140625" style="2"/>
    <col min="9901" max="9901" width="6.4140625" style="3"/>
    <col min="9902" max="9902" width="6.4140625" style="2"/>
    <col min="9903" max="9903" width="6.4140625" style="3"/>
    <col min="9904" max="9905" width="6.4140625" style="2"/>
    <col min="9906" max="9906" width="6.4140625" style="1"/>
    <col min="9907" max="9907" width="6.4140625" style="2"/>
    <col min="9908" max="9908" width="6.4140625" style="3"/>
    <col min="9909" max="9909" width="6.4140625" style="2"/>
    <col min="9910" max="9910" width="6.4140625" style="3"/>
    <col min="9911" max="9912" width="6.4140625" style="2"/>
    <col min="9913" max="9913" width="6.4140625" style="1"/>
    <col min="9914" max="9914" width="6.4140625" style="2"/>
    <col min="9915" max="9915" width="6.4140625" style="3"/>
    <col min="9916" max="9916" width="6.4140625" style="2"/>
    <col min="9917" max="9917" width="6.4140625" style="3"/>
    <col min="9918" max="9919" width="6.4140625" style="2"/>
    <col min="9920" max="9920" width="6.4140625" style="1"/>
    <col min="9921" max="9921" width="6.4140625" style="2"/>
    <col min="9922" max="9922" width="6.4140625" style="3"/>
    <col min="9923" max="9923" width="6.4140625" style="2"/>
    <col min="9924" max="9924" width="6.4140625" style="3"/>
    <col min="9925" max="9926" width="6.4140625" style="2"/>
    <col min="9927" max="9927" width="6.4140625" style="1"/>
    <col min="9928" max="9928" width="6.4140625" style="2"/>
    <col min="9929" max="9929" width="6.4140625" style="3"/>
    <col min="9930" max="9930" width="6.4140625" style="2"/>
    <col min="9931" max="9931" width="6.4140625" style="3"/>
    <col min="9932" max="9933" width="6.4140625" style="2"/>
    <col min="9934" max="9934" width="6.4140625" style="1"/>
    <col min="9935" max="9935" width="6.4140625" style="2"/>
    <col min="9936" max="9936" width="6.4140625" style="3"/>
    <col min="9937" max="9937" width="6.4140625" style="2"/>
    <col min="9938" max="9938" width="6.4140625" style="3"/>
    <col min="9939" max="9940" width="6.4140625" style="2"/>
    <col min="9941" max="9941" width="6.4140625" style="1"/>
    <col min="9942" max="9942" width="6.4140625" style="2"/>
    <col min="9943" max="9943" width="6.4140625" style="3"/>
    <col min="9944" max="9944" width="6.4140625" style="2"/>
    <col min="9945" max="9945" width="6.4140625" style="3"/>
    <col min="9946" max="9947" width="6.4140625" style="2"/>
    <col min="9948" max="9948" width="6.4140625" style="1"/>
    <col min="9949" max="9949" width="6.4140625" style="2"/>
    <col min="9950" max="9950" width="6.4140625" style="3"/>
    <col min="9951" max="9951" width="6.4140625" style="2"/>
    <col min="9952" max="9952" width="6.4140625" style="3"/>
    <col min="9953" max="9954" width="6.4140625" style="2"/>
    <col min="9955" max="9955" width="6.4140625" style="1"/>
    <col min="9956" max="9956" width="6.4140625" style="2"/>
    <col min="9957" max="9957" width="6.4140625" style="3"/>
    <col min="9958" max="9958" width="6.4140625" style="2"/>
    <col min="9959" max="9959" width="6.4140625" style="3"/>
    <col min="9960" max="9961" width="6.4140625" style="2"/>
    <col min="9962" max="9962" width="6.4140625" style="1"/>
    <col min="9963" max="9963" width="6.4140625" style="2"/>
    <col min="9964" max="9964" width="6.4140625" style="3"/>
    <col min="9965" max="9965" width="6.4140625" style="2"/>
    <col min="9966" max="9966" width="6.4140625" style="3"/>
    <col min="9967" max="9968" width="6.4140625" style="2"/>
    <col min="9969" max="9969" width="6.4140625" style="1"/>
    <col min="9970" max="9970" width="6.4140625" style="2"/>
    <col min="9971" max="9971" width="6.4140625" style="3"/>
    <col min="9972" max="9972" width="6.4140625" style="2"/>
    <col min="9973" max="9973" width="6.4140625" style="3"/>
    <col min="9974" max="9975" width="6.4140625" style="2"/>
    <col min="9976" max="9976" width="6.4140625" style="1"/>
    <col min="9977" max="9977" width="6.4140625" style="2"/>
    <col min="9978" max="9978" width="6.4140625" style="3"/>
    <col min="9979" max="9979" width="6.4140625" style="2"/>
    <col min="9980" max="9980" width="6.4140625" style="3"/>
    <col min="9981" max="9982" width="6.4140625" style="2"/>
    <col min="9983" max="9983" width="6.4140625" style="1"/>
    <col min="9984" max="9984" width="6.4140625" style="2"/>
    <col min="9985" max="9985" width="6.4140625" style="3"/>
    <col min="9986" max="9986" width="6.4140625" style="2"/>
    <col min="9987" max="9987" width="6.4140625" style="3"/>
    <col min="9988" max="9989" width="6.4140625" style="2"/>
    <col min="9990" max="9990" width="6.4140625" style="1"/>
    <col min="9991" max="9991" width="6.4140625" style="2"/>
    <col min="9992" max="9992" width="6.4140625" style="3"/>
    <col min="9993" max="9993" width="6.4140625" style="2"/>
    <col min="9994" max="9994" width="6.4140625" style="3"/>
    <col min="9995" max="9996" width="6.4140625" style="2"/>
    <col min="9997" max="9997" width="6.4140625" style="1"/>
    <col min="9998" max="9998" width="6.4140625" style="2"/>
    <col min="9999" max="9999" width="6.4140625" style="3"/>
    <col min="10000" max="10000" width="6.4140625" style="2"/>
    <col min="10001" max="10001" width="6.4140625" style="3"/>
    <col min="10002" max="10003" width="6.4140625" style="2"/>
    <col min="10004" max="10004" width="6.4140625" style="1"/>
    <col min="10005" max="10005" width="6.4140625" style="2"/>
    <col min="10006" max="10006" width="6.4140625" style="3"/>
    <col min="10007" max="10007" width="6.4140625" style="2"/>
    <col min="10008" max="10008" width="6.4140625" style="3"/>
    <col min="10009" max="10010" width="6.4140625" style="2"/>
    <col min="10011" max="10011" width="6.4140625" style="1"/>
    <col min="10012" max="10012" width="6.4140625" style="2"/>
    <col min="10013" max="10013" width="6.4140625" style="3"/>
    <col min="10014" max="10014" width="6.4140625" style="2"/>
    <col min="10015" max="10015" width="6.4140625" style="3"/>
    <col min="10016" max="10017" width="6.4140625" style="2"/>
    <col min="10018" max="10018" width="6.4140625" style="1"/>
    <col min="10019" max="10019" width="6.4140625" style="2"/>
    <col min="10020" max="10020" width="6.4140625" style="3"/>
    <col min="10021" max="10021" width="6.4140625" style="2"/>
    <col min="10022" max="10022" width="6.4140625" style="3"/>
    <col min="10023" max="10024" width="6.4140625" style="2"/>
    <col min="10025" max="10025" width="6.4140625" style="1"/>
    <col min="10026" max="10026" width="6.4140625" style="2"/>
    <col min="10027" max="10027" width="6.4140625" style="3"/>
    <col min="10028" max="10028" width="6.4140625" style="2"/>
    <col min="10029" max="10029" width="6.4140625" style="3"/>
    <col min="10030" max="10031" width="6.4140625" style="2"/>
    <col min="10032" max="10032" width="6.4140625" style="1"/>
    <col min="10033" max="10033" width="6.4140625" style="2"/>
    <col min="10034" max="10034" width="6.4140625" style="3"/>
    <col min="10035" max="10035" width="6.4140625" style="2"/>
    <col min="10036" max="10036" width="6.4140625" style="3"/>
    <col min="10037" max="10038" width="6.4140625" style="2"/>
    <col min="10039" max="10039" width="6.4140625" style="1"/>
    <col min="10040" max="10040" width="6.4140625" style="2"/>
    <col min="10041" max="10041" width="6.4140625" style="3"/>
    <col min="10042" max="10042" width="6.4140625" style="2"/>
    <col min="10043" max="10043" width="6.4140625" style="3"/>
    <col min="10044" max="10045" width="6.4140625" style="2"/>
    <col min="10046" max="10046" width="6.4140625" style="1"/>
    <col min="10047" max="10047" width="6.4140625" style="2"/>
    <col min="10048" max="10048" width="6.4140625" style="3"/>
    <col min="10049" max="10049" width="6.4140625" style="2"/>
    <col min="10050" max="10050" width="6.4140625" style="3"/>
    <col min="10051" max="10052" width="6.4140625" style="2"/>
    <col min="10053" max="10053" width="6.4140625" style="1"/>
    <col min="10054" max="10054" width="6.4140625" style="2"/>
    <col min="10055" max="10055" width="6.4140625" style="3"/>
    <col min="10056" max="10056" width="6.4140625" style="2"/>
    <col min="10057" max="10057" width="6.4140625" style="3"/>
    <col min="10058" max="10059" width="6.4140625" style="2"/>
    <col min="10060" max="10060" width="6.4140625" style="1"/>
    <col min="10061" max="10061" width="6.4140625" style="2"/>
    <col min="10062" max="10062" width="6.4140625" style="3"/>
    <col min="10063" max="10063" width="6.4140625" style="2"/>
    <col min="10064" max="10064" width="6.4140625" style="3"/>
    <col min="10065" max="10066" width="6.4140625" style="2"/>
    <col min="10067" max="10067" width="6.4140625" style="1"/>
    <col min="10068" max="10068" width="6.4140625" style="2"/>
    <col min="10069" max="10069" width="6.4140625" style="3"/>
    <col min="10070" max="10070" width="6.4140625" style="2"/>
    <col min="10071" max="10071" width="6.4140625" style="3"/>
    <col min="10072" max="10073" width="6.4140625" style="2"/>
    <col min="10074" max="10074" width="6.4140625" style="1"/>
    <col min="10075" max="10075" width="6.4140625" style="2"/>
    <col min="10076" max="10076" width="6.4140625" style="3"/>
    <col min="10077" max="10077" width="6.4140625" style="2"/>
    <col min="10078" max="10078" width="6.4140625" style="3"/>
    <col min="10079" max="10080" width="6.4140625" style="2"/>
    <col min="10081" max="10081" width="6.4140625" style="1"/>
    <col min="10082" max="10082" width="6.4140625" style="2"/>
    <col min="10083" max="10083" width="6.4140625" style="3"/>
    <col min="10084" max="10084" width="6.4140625" style="2"/>
    <col min="10085" max="10085" width="6.4140625" style="3"/>
    <col min="10086" max="10087" width="6.4140625" style="2"/>
    <col min="10088" max="10088" width="6.4140625" style="1"/>
    <col min="10089" max="10089" width="6.4140625" style="2"/>
    <col min="10090" max="10090" width="6.4140625" style="3"/>
    <col min="10091" max="10091" width="6.4140625" style="2"/>
    <col min="10092" max="10092" width="6.4140625" style="3"/>
    <col min="10093" max="10094" width="6.4140625" style="2"/>
    <col min="10095" max="10095" width="6.4140625" style="1"/>
    <col min="10096" max="10096" width="6.4140625" style="2"/>
    <col min="10097" max="10097" width="6.4140625" style="3"/>
    <col min="10098" max="10098" width="6.4140625" style="2"/>
    <col min="10099" max="10099" width="6.4140625" style="3"/>
    <col min="10100" max="10101" width="6.4140625" style="2"/>
    <col min="10102" max="10102" width="6.4140625" style="1"/>
    <col min="10103" max="10103" width="6.4140625" style="2"/>
    <col min="10104" max="10104" width="6.4140625" style="3"/>
    <col min="10105" max="10105" width="6.4140625" style="2"/>
    <col min="10106" max="10106" width="6.4140625" style="3"/>
    <col min="10107" max="10108" width="6.4140625" style="2"/>
    <col min="10109" max="10109" width="6.4140625" style="1"/>
    <col min="10110" max="10110" width="6.4140625" style="2"/>
    <col min="10111" max="10111" width="6.4140625" style="3"/>
    <col min="10112" max="10112" width="6.4140625" style="2"/>
    <col min="10113" max="10113" width="6.4140625" style="3"/>
    <col min="10114" max="10115" width="6.4140625" style="2"/>
    <col min="10116" max="10116" width="6.4140625" style="1"/>
    <col min="10117" max="10117" width="6.4140625" style="2"/>
    <col min="10118" max="10118" width="6.4140625" style="3"/>
    <col min="10119" max="10119" width="6.4140625" style="2"/>
    <col min="10120" max="10120" width="6.4140625" style="3"/>
    <col min="10121" max="10122" width="6.4140625" style="2"/>
    <col min="10123" max="10123" width="6.4140625" style="1"/>
    <col min="10124" max="10124" width="6.4140625" style="2"/>
    <col min="10125" max="10125" width="6.4140625" style="3"/>
    <col min="10126" max="10126" width="6.4140625" style="2"/>
    <col min="10127" max="10127" width="6.4140625" style="3"/>
    <col min="10128" max="10129" width="6.4140625" style="2"/>
    <col min="10130" max="10130" width="6.4140625" style="1"/>
    <col min="10131" max="10131" width="6.4140625" style="2"/>
    <col min="10132" max="10132" width="6.4140625" style="3"/>
    <col min="10133" max="10133" width="6.4140625" style="2"/>
    <col min="10134" max="10134" width="6.4140625" style="3"/>
    <col min="10135" max="10136" width="6.4140625" style="2"/>
    <col min="10137" max="10137" width="6.4140625" style="1"/>
    <col min="10138" max="10138" width="6.4140625" style="2"/>
    <col min="10139" max="10139" width="6.4140625" style="3"/>
    <col min="10140" max="10140" width="6.4140625" style="2"/>
    <col min="10141" max="10141" width="6.4140625" style="3"/>
    <col min="10142" max="10143" width="6.4140625" style="2"/>
    <col min="10144" max="10144" width="6.4140625" style="1"/>
    <col min="10145" max="10145" width="6.4140625" style="2"/>
    <col min="10146" max="10146" width="6.4140625" style="3"/>
    <col min="10147" max="10147" width="6.4140625" style="2"/>
    <col min="10148" max="10148" width="6.4140625" style="3"/>
    <col min="10149" max="10150" width="6.4140625" style="2"/>
    <col min="10151" max="10151" width="6.4140625" style="1"/>
    <col min="10152" max="10152" width="6.4140625" style="2"/>
    <col min="10153" max="10153" width="6.4140625" style="3"/>
    <col min="10154" max="10154" width="6.4140625" style="2"/>
    <col min="10155" max="10155" width="6.4140625" style="3"/>
    <col min="10156" max="10157" width="6.4140625" style="2"/>
    <col min="10158" max="10158" width="6.4140625" style="1"/>
    <col min="10159" max="10159" width="6.4140625" style="2"/>
    <col min="10160" max="10160" width="6.4140625" style="3"/>
    <col min="10161" max="10161" width="6.4140625" style="2"/>
    <col min="10162" max="10162" width="6.4140625" style="3"/>
    <col min="10163" max="10164" width="6.4140625" style="2"/>
    <col min="10165" max="10165" width="6.4140625" style="1"/>
    <col min="10166" max="10166" width="6.4140625" style="2"/>
    <col min="10167" max="10167" width="6.4140625" style="3"/>
    <col min="10168" max="10168" width="6.4140625" style="2"/>
    <col min="10169" max="10169" width="6.4140625" style="3"/>
    <col min="10170" max="10171" width="6.4140625" style="2"/>
    <col min="10172" max="10172" width="6.4140625" style="1"/>
    <col min="10173" max="10173" width="6.4140625" style="2"/>
    <col min="10174" max="10174" width="6.4140625" style="3"/>
    <col min="10175" max="10175" width="6.4140625" style="2"/>
    <col min="10176" max="10176" width="6.4140625" style="3"/>
    <col min="10177" max="10178" width="6.4140625" style="2"/>
    <col min="10179" max="10179" width="6.4140625" style="1"/>
    <col min="10180" max="10180" width="6.4140625" style="2"/>
    <col min="10181" max="10181" width="6.4140625" style="3"/>
    <col min="10182" max="10182" width="6.4140625" style="2"/>
    <col min="10183" max="10183" width="6.4140625" style="3"/>
    <col min="10184" max="10185" width="6.4140625" style="2"/>
    <col min="10186" max="10186" width="6.4140625" style="1"/>
    <col min="10187" max="10187" width="6.4140625" style="2"/>
    <col min="10188" max="10188" width="6.4140625" style="3"/>
    <col min="10189" max="10189" width="6.4140625" style="2"/>
    <col min="10190" max="10190" width="6.4140625" style="3"/>
    <col min="10191" max="10192" width="6.4140625" style="2"/>
    <col min="10193" max="10193" width="6.4140625" style="1"/>
    <col min="10194" max="10194" width="6.4140625" style="2"/>
    <col min="10195" max="10195" width="6.4140625" style="3"/>
    <col min="10196" max="10196" width="6.4140625" style="2"/>
    <col min="10197" max="10197" width="6.4140625" style="3"/>
    <col min="10198" max="10199" width="6.4140625" style="2"/>
    <col min="10200" max="10200" width="6.4140625" style="1"/>
    <col min="10201" max="10201" width="6.4140625" style="2"/>
    <col min="10202" max="10202" width="6.4140625" style="3"/>
    <col min="10203" max="10203" width="6.4140625" style="2"/>
    <col min="10204" max="10204" width="6.4140625" style="3"/>
    <col min="10205" max="10206" width="6.4140625" style="2"/>
    <col min="10207" max="10207" width="6.4140625" style="1"/>
    <col min="10208" max="10208" width="6.4140625" style="2"/>
    <col min="10209" max="10209" width="6.4140625" style="3"/>
    <col min="10210" max="10210" width="6.4140625" style="2"/>
    <col min="10211" max="10211" width="6.4140625" style="3"/>
    <col min="10212" max="10213" width="6.4140625" style="2"/>
    <col min="10214" max="10214" width="6.4140625" style="1"/>
    <col min="10215" max="10215" width="6.4140625" style="2"/>
    <col min="10216" max="10216" width="6.4140625" style="3"/>
    <col min="10217" max="10217" width="6.4140625" style="2"/>
    <col min="10218" max="10218" width="6.4140625" style="3"/>
    <col min="10219" max="10220" width="6.4140625" style="2"/>
    <col min="10221" max="10221" width="6.4140625" style="1"/>
    <col min="10222" max="10222" width="6.4140625" style="2"/>
    <col min="10223" max="10223" width="6.4140625" style="3"/>
    <col min="10224" max="10224" width="6.4140625" style="2"/>
    <col min="10225" max="10225" width="6.4140625" style="3"/>
    <col min="10226" max="10227" width="6.4140625" style="2"/>
    <col min="10228" max="10228" width="6.4140625" style="1"/>
    <col min="10229" max="10229" width="6.4140625" style="2"/>
    <col min="10230" max="10230" width="6.4140625" style="3"/>
    <col min="10231" max="10231" width="6.4140625" style="2"/>
    <col min="10232" max="10232" width="6.4140625" style="3"/>
    <col min="10233" max="10234" width="6.4140625" style="2"/>
    <col min="10235" max="10235" width="6.4140625" style="1"/>
    <col min="10236" max="10236" width="6.4140625" style="2"/>
    <col min="10237" max="10237" width="6.4140625" style="3"/>
    <col min="10238" max="10238" width="6.4140625" style="2"/>
    <col min="10239" max="10239" width="6.4140625" style="3"/>
    <col min="10240" max="10241" width="6.4140625" style="2"/>
    <col min="10242" max="10242" width="6.4140625" style="1"/>
    <col min="10243" max="10243" width="6.4140625" style="2"/>
    <col min="10244" max="10244" width="6.4140625" style="3"/>
    <col min="10245" max="10245" width="6.4140625" style="2"/>
    <col min="10246" max="10246" width="6.4140625" style="3"/>
    <col min="10247" max="10248" width="6.4140625" style="2"/>
    <col min="10249" max="10249" width="6.4140625" style="1"/>
    <col min="10250" max="10250" width="6.4140625" style="2"/>
    <col min="10251" max="10251" width="6.4140625" style="3"/>
    <col min="10252" max="10252" width="6.4140625" style="2"/>
    <col min="10253" max="10253" width="6.4140625" style="3"/>
    <col min="10254" max="10255" width="6.4140625" style="2"/>
    <col min="10256" max="10256" width="6.4140625" style="1"/>
    <col min="10257" max="10257" width="6.4140625" style="2"/>
    <col min="10258" max="10258" width="6.4140625" style="3"/>
    <col min="10259" max="10259" width="6.4140625" style="2"/>
    <col min="10260" max="10260" width="6.4140625" style="3"/>
    <col min="10261" max="10262" width="6.4140625" style="2"/>
    <col min="10263" max="10263" width="6.4140625" style="1"/>
    <col min="10264" max="10264" width="6.4140625" style="2"/>
    <col min="10265" max="10265" width="6.4140625" style="3"/>
    <col min="10266" max="10266" width="6.4140625" style="2"/>
    <col min="10267" max="10267" width="6.4140625" style="3"/>
    <col min="10268" max="10269" width="6.4140625" style="2"/>
    <col min="10270" max="10270" width="6.4140625" style="1"/>
    <col min="10271" max="10271" width="6.4140625" style="2"/>
    <col min="10272" max="10272" width="6.4140625" style="3"/>
    <col min="10273" max="10273" width="6.4140625" style="2"/>
    <col min="10274" max="10274" width="6.4140625" style="3"/>
    <col min="10275" max="10276" width="6.4140625" style="2"/>
    <col min="10277" max="10277" width="6.4140625" style="1"/>
    <col min="10278" max="10278" width="6.4140625" style="2"/>
    <col min="10279" max="10279" width="6.4140625" style="3"/>
    <col min="10280" max="10280" width="6.4140625" style="2"/>
    <col min="10281" max="10281" width="6.4140625" style="3"/>
    <col min="10282" max="10283" width="6.4140625" style="2"/>
    <col min="10284" max="10284" width="6.4140625" style="1"/>
    <col min="10285" max="10285" width="6.4140625" style="2"/>
    <col min="10286" max="10286" width="6.4140625" style="3"/>
    <col min="10287" max="10287" width="6.4140625" style="2"/>
    <col min="10288" max="10288" width="6.4140625" style="3"/>
    <col min="10289" max="10290" width="6.4140625" style="2"/>
    <col min="10291" max="10291" width="6.4140625" style="1"/>
    <col min="10292" max="10292" width="6.4140625" style="2"/>
    <col min="10293" max="10293" width="6.4140625" style="3"/>
    <col min="10294" max="10294" width="6.4140625" style="2"/>
    <col min="10295" max="10295" width="6.4140625" style="3"/>
    <col min="10296" max="10297" width="6.4140625" style="2"/>
    <col min="10298" max="10298" width="6.4140625" style="1"/>
    <col min="10299" max="10299" width="6.4140625" style="2"/>
    <col min="10300" max="10300" width="6.4140625" style="3"/>
    <col min="10301" max="10301" width="6.4140625" style="2"/>
    <col min="10302" max="10302" width="6.4140625" style="3"/>
    <col min="10303" max="10304" width="6.4140625" style="2"/>
    <col min="10305" max="10305" width="6.4140625" style="1"/>
    <col min="10306" max="10306" width="6.4140625" style="2"/>
    <col min="10307" max="10307" width="6.4140625" style="3"/>
    <col min="10308" max="10308" width="6.4140625" style="2"/>
    <col min="10309" max="10309" width="6.4140625" style="3"/>
    <col min="10310" max="10311" width="6.4140625" style="2"/>
    <col min="10312" max="10312" width="6.4140625" style="1"/>
    <col min="10313" max="10313" width="6.4140625" style="2"/>
    <col min="10314" max="10314" width="6.4140625" style="3"/>
    <col min="10315" max="10315" width="6.4140625" style="2"/>
    <col min="10316" max="10316" width="6.4140625" style="3"/>
    <col min="10317" max="10318" width="6.4140625" style="2"/>
    <col min="10319" max="10319" width="6.4140625" style="1"/>
    <col min="10320" max="10320" width="6.4140625" style="2"/>
    <col min="10321" max="10321" width="6.4140625" style="3"/>
    <col min="10322" max="10322" width="6.4140625" style="2"/>
    <col min="10323" max="10323" width="6.4140625" style="3"/>
    <col min="10324" max="10325" width="6.4140625" style="2"/>
    <col min="10326" max="10326" width="6.4140625" style="1"/>
    <col min="10327" max="10327" width="6.4140625" style="2"/>
    <col min="10328" max="10328" width="6.4140625" style="3"/>
    <col min="10329" max="10329" width="6.4140625" style="2"/>
    <col min="10330" max="10330" width="6.4140625" style="3"/>
    <col min="10331" max="10332" width="6.4140625" style="2"/>
    <col min="10333" max="10333" width="6.4140625" style="1"/>
    <col min="10334" max="10334" width="6.4140625" style="2"/>
    <col min="10335" max="10335" width="6.4140625" style="3"/>
    <col min="10336" max="10336" width="6.4140625" style="2"/>
    <col min="10337" max="10337" width="6.4140625" style="3"/>
    <col min="10338" max="10339" width="6.4140625" style="2"/>
    <col min="10340" max="10340" width="6.4140625" style="1"/>
    <col min="10341" max="10341" width="6.4140625" style="2"/>
    <col min="10342" max="10342" width="6.4140625" style="3"/>
    <col min="10343" max="10343" width="6.4140625" style="2"/>
    <col min="10344" max="10344" width="6.4140625" style="3"/>
    <col min="10345" max="10346" width="6.4140625" style="2"/>
    <col min="10347" max="10347" width="6.4140625" style="1"/>
    <col min="10348" max="10348" width="6.4140625" style="2"/>
    <col min="10349" max="10349" width="6.4140625" style="3"/>
    <col min="10350" max="10350" width="6.4140625" style="2"/>
    <col min="10351" max="10351" width="6.4140625" style="3"/>
    <col min="10352" max="10353" width="6.4140625" style="2"/>
    <col min="10354" max="10354" width="6.4140625" style="1"/>
    <col min="10355" max="10355" width="6.4140625" style="2"/>
    <col min="10356" max="10356" width="6.4140625" style="3"/>
    <col min="10357" max="10357" width="6.4140625" style="2"/>
    <col min="10358" max="10358" width="6.4140625" style="3"/>
    <col min="10359" max="10360" width="6.4140625" style="2"/>
    <col min="10361" max="10361" width="6.4140625" style="1"/>
    <col min="10362" max="10362" width="6.4140625" style="2"/>
    <col min="10363" max="10363" width="6.4140625" style="3"/>
    <col min="10364" max="10364" width="6.4140625" style="2"/>
    <col min="10365" max="10365" width="6.4140625" style="3"/>
    <col min="10366" max="10367" width="6.4140625" style="2"/>
    <col min="10368" max="10368" width="6.4140625" style="1"/>
    <col min="10369" max="10369" width="6.4140625" style="2"/>
    <col min="10370" max="10370" width="6.4140625" style="3"/>
    <col min="10371" max="10371" width="6.4140625" style="2"/>
    <col min="10372" max="10372" width="6.4140625" style="3"/>
    <col min="10373" max="10374" width="6.4140625" style="2"/>
    <col min="10375" max="10375" width="6.4140625" style="1"/>
    <col min="10376" max="10376" width="6.4140625" style="2"/>
    <col min="10377" max="10377" width="6.4140625" style="3"/>
    <col min="10378" max="10378" width="6.4140625" style="2"/>
    <col min="10379" max="10379" width="6.4140625" style="3"/>
    <col min="10380" max="10381" width="6.4140625" style="2"/>
    <col min="10382" max="10382" width="6.4140625" style="1"/>
    <col min="10383" max="10383" width="6.4140625" style="2"/>
    <col min="10384" max="10384" width="6.4140625" style="3"/>
    <col min="10385" max="10385" width="6.4140625" style="2"/>
    <col min="10386" max="10386" width="6.4140625" style="3"/>
    <col min="10387" max="10388" width="6.4140625" style="2"/>
    <col min="10389" max="10389" width="6.4140625" style="1"/>
    <col min="10390" max="10390" width="6.4140625" style="2"/>
    <col min="10391" max="10391" width="6.4140625" style="3"/>
    <col min="10392" max="10392" width="6.4140625" style="2"/>
    <col min="10393" max="10393" width="6.4140625" style="3"/>
    <col min="10394" max="10395" width="6.4140625" style="2"/>
    <col min="10396" max="10396" width="6.4140625" style="1"/>
    <col min="10397" max="10397" width="6.4140625" style="2"/>
    <col min="10398" max="10398" width="6.4140625" style="3"/>
    <col min="10399" max="10399" width="6.4140625" style="2"/>
    <col min="10400" max="10400" width="6.4140625" style="3"/>
    <col min="10401" max="10402" width="6.4140625" style="2"/>
    <col min="10403" max="10403" width="6.4140625" style="1"/>
    <col min="10404" max="10404" width="6.4140625" style="2"/>
    <col min="10405" max="10405" width="6.4140625" style="3"/>
    <col min="10406" max="10406" width="6.4140625" style="2"/>
    <col min="10407" max="10407" width="6.4140625" style="3"/>
    <col min="10408" max="10409" width="6.4140625" style="2"/>
    <col min="10410" max="10410" width="6.4140625" style="1"/>
    <col min="10411" max="10411" width="6.4140625" style="2"/>
    <col min="10412" max="10412" width="6.4140625" style="3"/>
    <col min="10413" max="10413" width="6.4140625" style="2"/>
    <col min="10414" max="10414" width="6.4140625" style="3"/>
    <col min="10415" max="10416" width="6.4140625" style="2"/>
    <col min="10417" max="10417" width="6.4140625" style="1"/>
    <col min="10418" max="10418" width="6.4140625" style="2"/>
    <col min="10419" max="10419" width="6.4140625" style="3"/>
    <col min="10420" max="10420" width="6.4140625" style="2"/>
    <col min="10421" max="10421" width="6.4140625" style="3"/>
    <col min="10422" max="10423" width="6.4140625" style="2"/>
    <col min="10424" max="10424" width="6.4140625" style="1"/>
    <col min="10425" max="10425" width="6.4140625" style="2"/>
    <col min="10426" max="10426" width="6.4140625" style="3"/>
    <col min="10427" max="10427" width="6.4140625" style="2"/>
    <col min="10428" max="10428" width="6.4140625" style="3"/>
    <col min="10429" max="10430" width="6.4140625" style="2"/>
    <col min="10431" max="10431" width="6.4140625" style="1"/>
    <col min="10432" max="10432" width="6.4140625" style="2"/>
    <col min="10433" max="10433" width="6.4140625" style="3"/>
    <col min="10434" max="10434" width="6.4140625" style="2"/>
    <col min="10435" max="10435" width="6.4140625" style="3"/>
    <col min="10436" max="10437" width="6.4140625" style="2"/>
    <col min="10438" max="10438" width="6.4140625" style="1"/>
    <col min="10439" max="10439" width="6.4140625" style="2"/>
    <col min="10440" max="10440" width="6.4140625" style="3"/>
    <col min="10441" max="10441" width="6.4140625" style="2"/>
    <col min="10442" max="10442" width="6.4140625" style="3"/>
    <col min="10443" max="10444" width="6.4140625" style="2"/>
    <col min="10445" max="10445" width="6.4140625" style="1"/>
    <col min="10446" max="10446" width="6.4140625" style="2"/>
    <col min="10447" max="10447" width="6.4140625" style="3"/>
    <col min="10448" max="10448" width="6.4140625" style="2"/>
    <col min="10449" max="10449" width="6.4140625" style="3"/>
    <col min="10450" max="10451" width="6.4140625" style="2"/>
    <col min="10452" max="10452" width="6.4140625" style="1"/>
    <col min="10453" max="10453" width="6.4140625" style="2"/>
    <col min="10454" max="10454" width="6.4140625" style="3"/>
    <col min="10455" max="10455" width="6.4140625" style="2"/>
    <col min="10456" max="10456" width="6.4140625" style="3"/>
    <col min="10457" max="10458" width="6.4140625" style="2"/>
    <col min="10459" max="10459" width="6.4140625" style="1"/>
    <col min="10460" max="10460" width="6.4140625" style="2"/>
    <col min="10461" max="10461" width="6.4140625" style="3"/>
    <col min="10462" max="10462" width="6.4140625" style="2"/>
    <col min="10463" max="10463" width="6.4140625" style="3"/>
    <col min="10464" max="10465" width="6.4140625" style="2"/>
    <col min="10466" max="10466" width="6.4140625" style="1"/>
    <col min="10467" max="10467" width="6.4140625" style="2"/>
    <col min="10468" max="10468" width="6.4140625" style="3"/>
    <col min="10469" max="10469" width="6.4140625" style="2"/>
    <col min="10470" max="10470" width="6.4140625" style="3"/>
    <col min="10471" max="10472" width="6.4140625" style="2"/>
    <col min="10473" max="10473" width="6.4140625" style="1"/>
    <col min="10474" max="10474" width="6.4140625" style="2"/>
    <col min="10475" max="10475" width="6.4140625" style="3"/>
    <col min="10476" max="10476" width="6.4140625" style="2"/>
    <col min="10477" max="10477" width="6.4140625" style="3"/>
    <col min="10478" max="10479" width="6.4140625" style="2"/>
    <col min="10480" max="10480" width="6.4140625" style="1"/>
    <col min="10481" max="10481" width="6.4140625" style="2"/>
    <col min="10482" max="10482" width="6.4140625" style="3"/>
    <col min="10483" max="10483" width="6.4140625" style="2"/>
    <col min="10484" max="10484" width="6.4140625" style="3"/>
    <col min="10485" max="10486" width="6.4140625" style="2"/>
    <col min="10487" max="10487" width="6.4140625" style="1"/>
    <col min="10488" max="10488" width="6.4140625" style="2"/>
    <col min="10489" max="10489" width="6.4140625" style="3"/>
    <col min="10490" max="10490" width="6.4140625" style="2"/>
    <col min="10491" max="10491" width="6.4140625" style="3"/>
    <col min="10492" max="10493" width="6.4140625" style="2"/>
    <col min="10494" max="10494" width="6.4140625" style="1"/>
    <col min="10495" max="10495" width="6.4140625" style="2"/>
    <col min="10496" max="10496" width="6.4140625" style="3"/>
    <col min="10497" max="10497" width="6.4140625" style="2"/>
    <col min="10498" max="10498" width="6.4140625" style="3"/>
    <col min="10499" max="10500" width="6.4140625" style="2"/>
    <col min="10501" max="10501" width="6.4140625" style="1"/>
    <col min="10502" max="10502" width="6.4140625" style="2"/>
    <col min="10503" max="10503" width="6.4140625" style="3"/>
    <col min="10504" max="10504" width="6.4140625" style="2"/>
    <col min="10505" max="10505" width="6.4140625" style="3"/>
    <col min="10506" max="10507" width="6.4140625" style="2"/>
    <col min="10508" max="10508" width="6.4140625" style="1"/>
    <col min="10509" max="10509" width="6.4140625" style="2"/>
    <col min="10510" max="10510" width="6.4140625" style="3"/>
    <col min="10511" max="10511" width="6.4140625" style="2"/>
    <col min="10512" max="10512" width="6.4140625" style="3"/>
    <col min="10513" max="10514" width="6.4140625" style="2"/>
    <col min="10515" max="10515" width="6.4140625" style="1"/>
    <col min="10516" max="10516" width="6.4140625" style="2"/>
    <col min="10517" max="10517" width="6.4140625" style="3"/>
    <col min="10518" max="10518" width="6.4140625" style="2"/>
    <col min="10519" max="10519" width="6.4140625" style="3"/>
    <col min="10520" max="10521" width="6.4140625" style="2"/>
    <col min="10522" max="10522" width="6.4140625" style="1"/>
    <col min="10523" max="10523" width="6.4140625" style="2"/>
    <col min="10524" max="10524" width="6.4140625" style="3"/>
    <col min="10525" max="10525" width="6.4140625" style="2"/>
    <col min="10526" max="10526" width="6.4140625" style="3"/>
    <col min="10527" max="10528" width="6.4140625" style="2"/>
    <col min="10529" max="10529" width="6.4140625" style="1"/>
    <col min="10530" max="10530" width="6.4140625" style="2"/>
    <col min="10531" max="10531" width="6.4140625" style="3"/>
    <col min="10532" max="10532" width="6.4140625" style="2"/>
    <col min="10533" max="10533" width="6.4140625" style="3"/>
    <col min="10534" max="10535" width="6.4140625" style="2"/>
    <col min="10536" max="10536" width="6.4140625" style="1"/>
    <col min="10537" max="10537" width="6.4140625" style="2"/>
    <col min="10538" max="10538" width="6.4140625" style="3"/>
    <col min="10539" max="10539" width="6.4140625" style="2"/>
    <col min="10540" max="10540" width="6.4140625" style="3"/>
    <col min="10541" max="10542" width="6.4140625" style="2"/>
    <col min="10543" max="10543" width="6.4140625" style="1"/>
    <col min="10544" max="10544" width="6.4140625" style="2"/>
    <col min="10545" max="10545" width="6.4140625" style="3"/>
    <col min="10546" max="10546" width="6.4140625" style="2"/>
    <col min="10547" max="10547" width="6.4140625" style="3"/>
    <col min="10548" max="10549" width="6.4140625" style="2"/>
    <col min="10550" max="10550" width="6.4140625" style="1"/>
    <col min="10551" max="10551" width="6.4140625" style="2"/>
    <col min="10552" max="10552" width="6.4140625" style="3"/>
    <col min="10553" max="10553" width="6.4140625" style="2"/>
    <col min="10554" max="10554" width="6.4140625" style="3"/>
    <col min="10555" max="10556" width="6.4140625" style="2"/>
    <col min="10557" max="10557" width="6.4140625" style="1"/>
    <col min="10558" max="10558" width="6.4140625" style="2"/>
    <col min="10559" max="10559" width="6.4140625" style="3"/>
    <col min="10560" max="10560" width="6.4140625" style="2"/>
    <col min="10561" max="10561" width="6.4140625" style="3"/>
    <col min="10562" max="10563" width="6.4140625" style="2"/>
    <col min="10564" max="10564" width="6.4140625" style="1"/>
    <col min="10565" max="10565" width="6.4140625" style="2"/>
    <col min="10566" max="10566" width="6.4140625" style="3"/>
    <col min="10567" max="10567" width="6.4140625" style="2"/>
    <col min="10568" max="10568" width="6.4140625" style="3"/>
    <col min="10569" max="10570" width="6.4140625" style="2"/>
    <col min="10571" max="10571" width="6.4140625" style="1"/>
    <col min="10572" max="10572" width="6.4140625" style="2"/>
    <col min="10573" max="10573" width="6.4140625" style="3"/>
    <col min="10574" max="10574" width="6.4140625" style="2"/>
    <col min="10575" max="10575" width="6.4140625" style="3"/>
    <col min="10576" max="10577" width="6.4140625" style="2"/>
    <col min="10578" max="10578" width="6.4140625" style="1"/>
    <col min="10579" max="10579" width="6.4140625" style="2"/>
    <col min="10580" max="10580" width="6.4140625" style="3"/>
    <col min="10581" max="10581" width="6.4140625" style="2"/>
    <col min="10582" max="10582" width="6.4140625" style="3"/>
    <col min="10583" max="10584" width="6.4140625" style="2"/>
    <col min="10585" max="10585" width="6.4140625" style="1"/>
    <col min="10586" max="10586" width="6.4140625" style="2"/>
    <col min="10587" max="10587" width="6.4140625" style="3"/>
    <col min="10588" max="10588" width="6.4140625" style="2"/>
    <col min="10589" max="10589" width="6.4140625" style="3"/>
    <col min="10590" max="10591" width="6.4140625" style="2"/>
    <col min="10592" max="10592" width="6.4140625" style="1"/>
    <col min="10593" max="10593" width="6.4140625" style="2"/>
    <col min="10594" max="10594" width="6.4140625" style="3"/>
    <col min="10595" max="10595" width="6.4140625" style="2"/>
    <col min="10596" max="10596" width="6.4140625" style="3"/>
    <col min="10597" max="10598" width="6.4140625" style="2"/>
    <col min="10599" max="10599" width="6.4140625" style="1"/>
    <col min="10600" max="10600" width="6.4140625" style="2"/>
    <col min="10601" max="10601" width="6.4140625" style="3"/>
    <col min="10602" max="10602" width="6.4140625" style="2"/>
    <col min="10603" max="10603" width="6.4140625" style="3"/>
    <col min="10604" max="10605" width="6.4140625" style="2"/>
    <col min="10606" max="10606" width="6.4140625" style="1"/>
    <col min="10607" max="10607" width="6.4140625" style="2"/>
    <col min="10608" max="10608" width="6.4140625" style="3"/>
    <col min="10609" max="10609" width="6.4140625" style="2"/>
    <col min="10610" max="10610" width="6.4140625" style="3"/>
    <col min="10611" max="10612" width="6.4140625" style="2"/>
    <col min="10613" max="10613" width="6.4140625" style="1"/>
    <col min="10614" max="10614" width="6.4140625" style="2"/>
    <col min="10615" max="10615" width="6.4140625" style="3"/>
    <col min="10616" max="10616" width="6.4140625" style="2"/>
    <col min="10617" max="10617" width="6.4140625" style="3"/>
    <col min="10618" max="10619" width="6.4140625" style="2"/>
    <col min="10620" max="10620" width="6.4140625" style="1"/>
    <col min="10621" max="10621" width="6.4140625" style="2"/>
    <col min="10622" max="10622" width="6.4140625" style="3"/>
    <col min="10623" max="10623" width="6.4140625" style="2"/>
    <col min="10624" max="10624" width="6.4140625" style="3"/>
    <col min="10625" max="10626" width="6.4140625" style="2"/>
    <col min="10627" max="10627" width="6.4140625" style="1"/>
    <col min="10628" max="10628" width="6.4140625" style="2"/>
    <col min="10629" max="10629" width="6.4140625" style="3"/>
    <col min="10630" max="10630" width="6.4140625" style="2"/>
    <col min="10631" max="10631" width="6.4140625" style="3"/>
    <col min="10632" max="10633" width="6.4140625" style="2"/>
    <col min="10634" max="10634" width="6.4140625" style="1"/>
    <col min="10635" max="10635" width="6.4140625" style="2"/>
    <col min="10636" max="10636" width="6.4140625" style="3"/>
    <col min="10637" max="10637" width="6.4140625" style="2"/>
    <col min="10638" max="10638" width="6.4140625" style="3"/>
    <col min="10639" max="10640" width="6.4140625" style="2"/>
    <col min="10641" max="10641" width="6.4140625" style="1"/>
    <col min="10642" max="10642" width="6.4140625" style="2"/>
    <col min="10643" max="10643" width="6.4140625" style="3"/>
    <col min="10644" max="10644" width="6.4140625" style="2"/>
    <col min="10645" max="10645" width="6.4140625" style="3"/>
    <col min="10646" max="10647" width="6.4140625" style="2"/>
    <col min="10648" max="10648" width="6.4140625" style="1"/>
    <col min="10649" max="10649" width="6.4140625" style="2"/>
    <col min="10650" max="10650" width="6.4140625" style="3"/>
    <col min="10651" max="10651" width="6.4140625" style="2"/>
    <col min="10652" max="10652" width="6.4140625" style="3"/>
    <col min="10653" max="10654" width="6.4140625" style="2"/>
    <col min="10655" max="10655" width="6.4140625" style="1"/>
    <col min="10656" max="10656" width="6.4140625" style="2"/>
    <col min="10657" max="10657" width="6.4140625" style="3"/>
    <col min="10658" max="10658" width="6.4140625" style="2"/>
    <col min="10659" max="10659" width="6.4140625" style="3"/>
    <col min="10660" max="10661" width="6.4140625" style="2"/>
    <col min="10662" max="10662" width="6.4140625" style="1"/>
    <col min="10663" max="10663" width="6.4140625" style="2"/>
    <col min="10664" max="10664" width="6.4140625" style="3"/>
    <col min="10665" max="10665" width="6.4140625" style="2"/>
    <col min="10666" max="10666" width="6.4140625" style="3"/>
    <col min="10667" max="10668" width="6.4140625" style="2"/>
    <col min="10669" max="10669" width="6.4140625" style="1"/>
    <col min="10670" max="10670" width="6.4140625" style="2"/>
    <col min="10671" max="10671" width="6.4140625" style="3"/>
    <col min="10672" max="10672" width="6.4140625" style="2"/>
    <col min="10673" max="10673" width="6.4140625" style="3"/>
    <col min="10674" max="10675" width="6.4140625" style="2"/>
    <col min="10676" max="10676" width="6.4140625" style="1"/>
    <col min="10677" max="10677" width="6.4140625" style="2"/>
    <col min="10678" max="10678" width="6.4140625" style="3"/>
    <col min="10679" max="10679" width="6.4140625" style="2"/>
    <col min="10680" max="10680" width="6.4140625" style="3"/>
    <col min="10681" max="10682" width="6.4140625" style="2"/>
    <col min="10683" max="10683" width="6.4140625" style="1"/>
    <col min="10684" max="10684" width="6.4140625" style="2"/>
    <col min="10685" max="10685" width="6.4140625" style="3"/>
    <col min="10686" max="10686" width="6.4140625" style="2"/>
    <col min="10687" max="10687" width="6.4140625" style="3"/>
    <col min="10688" max="10689" width="6.4140625" style="2"/>
    <col min="10690" max="10690" width="6.4140625" style="1"/>
    <col min="10691" max="10691" width="6.4140625" style="2"/>
    <col min="10692" max="10692" width="6.4140625" style="3"/>
    <col min="10693" max="10693" width="6.4140625" style="2"/>
    <col min="10694" max="10694" width="6.4140625" style="3"/>
    <col min="10695" max="10696" width="6.4140625" style="2"/>
    <col min="10697" max="10697" width="6.4140625" style="1"/>
    <col min="10698" max="10698" width="6.4140625" style="2"/>
    <col min="10699" max="10699" width="6.4140625" style="3"/>
    <col min="10700" max="10700" width="6.4140625" style="2"/>
    <col min="10701" max="10701" width="6.4140625" style="3"/>
    <col min="10702" max="10703" width="6.4140625" style="2"/>
    <col min="10704" max="10704" width="6.4140625" style="1"/>
    <col min="10705" max="10705" width="6.4140625" style="2"/>
    <col min="10706" max="10706" width="6.4140625" style="3"/>
    <col min="10707" max="10707" width="6.4140625" style="2"/>
    <col min="10708" max="10708" width="6.4140625" style="3"/>
    <col min="10709" max="10710" width="6.4140625" style="2"/>
    <col min="10711" max="10711" width="6.4140625" style="1"/>
    <col min="10712" max="10712" width="6.4140625" style="2"/>
    <col min="10713" max="10713" width="6.4140625" style="3"/>
    <col min="10714" max="10714" width="6.4140625" style="2"/>
    <col min="10715" max="10715" width="6.4140625" style="3"/>
    <col min="10716" max="10717" width="6.4140625" style="2"/>
    <col min="10718" max="10718" width="6.4140625" style="1"/>
    <col min="10719" max="10719" width="6.4140625" style="2"/>
    <col min="10720" max="10720" width="6.4140625" style="3"/>
    <col min="10721" max="10721" width="6.4140625" style="2"/>
    <col min="10722" max="10722" width="6.4140625" style="3"/>
    <col min="10723" max="10724" width="6.4140625" style="2"/>
    <col min="10725" max="10725" width="6.4140625" style="1"/>
    <col min="10726" max="10726" width="6.4140625" style="2"/>
    <col min="10727" max="10727" width="6.4140625" style="3"/>
    <col min="10728" max="10728" width="6.4140625" style="2"/>
    <col min="10729" max="10729" width="6.4140625" style="3"/>
    <col min="10730" max="10731" width="6.4140625" style="2"/>
    <col min="10732" max="10732" width="6.4140625" style="1"/>
    <col min="10733" max="10733" width="6.4140625" style="2"/>
    <col min="10734" max="10734" width="6.4140625" style="3"/>
    <col min="10735" max="10735" width="6.4140625" style="2"/>
    <col min="10736" max="10736" width="6.4140625" style="3"/>
    <col min="10737" max="10738" width="6.4140625" style="2"/>
    <col min="10739" max="10739" width="6.4140625" style="1"/>
    <col min="10740" max="10740" width="6.4140625" style="2"/>
    <col min="10741" max="10741" width="6.4140625" style="3"/>
    <col min="10742" max="10742" width="6.4140625" style="2"/>
    <col min="10743" max="10743" width="6.4140625" style="3"/>
    <col min="10744" max="10745" width="6.4140625" style="2"/>
    <col min="10746" max="10746" width="6.4140625" style="1"/>
    <col min="10747" max="10747" width="6.4140625" style="2"/>
    <col min="10748" max="10748" width="6.4140625" style="3"/>
    <col min="10749" max="10749" width="6.4140625" style="2"/>
    <col min="10750" max="10750" width="6.4140625" style="3"/>
    <col min="10751" max="10752" width="6.4140625" style="2"/>
    <col min="10753" max="10753" width="6.4140625" style="1"/>
    <col min="10754" max="10754" width="6.4140625" style="2"/>
    <col min="10755" max="10755" width="6.4140625" style="3"/>
    <col min="10756" max="10756" width="6.4140625" style="2"/>
    <col min="10757" max="10757" width="6.4140625" style="3"/>
    <col min="10758" max="10759" width="6.4140625" style="2"/>
    <col min="10760" max="10760" width="6.4140625" style="1"/>
    <col min="10761" max="10761" width="6.4140625" style="2"/>
    <col min="10762" max="10762" width="6.4140625" style="3"/>
    <col min="10763" max="10763" width="6.4140625" style="2"/>
    <col min="10764" max="10764" width="6.4140625" style="3"/>
    <col min="10765" max="10766" width="6.4140625" style="2"/>
    <col min="10767" max="10767" width="6.4140625" style="1"/>
    <col min="10768" max="10768" width="6.4140625" style="2"/>
    <col min="10769" max="10769" width="6.4140625" style="3"/>
    <col min="10770" max="10770" width="6.4140625" style="2"/>
    <col min="10771" max="10771" width="6.4140625" style="3"/>
    <col min="10772" max="10773" width="6.4140625" style="2"/>
    <col min="10774" max="10774" width="6.4140625" style="1"/>
    <col min="10775" max="10775" width="6.4140625" style="2"/>
    <col min="10776" max="10776" width="6.4140625" style="3"/>
    <col min="10777" max="10777" width="6.4140625" style="2"/>
    <col min="10778" max="10778" width="6.4140625" style="3"/>
    <col min="10779" max="10780" width="6.4140625" style="2"/>
    <col min="10781" max="10781" width="6.4140625" style="1"/>
    <col min="10782" max="10782" width="6.4140625" style="2"/>
    <col min="10783" max="10783" width="6.4140625" style="3"/>
    <col min="10784" max="10784" width="6.4140625" style="2"/>
    <col min="10785" max="10785" width="6.4140625" style="3"/>
    <col min="10786" max="10787" width="6.4140625" style="2"/>
    <col min="10788" max="10788" width="6.4140625" style="1"/>
    <col min="10789" max="10789" width="6.4140625" style="2"/>
    <col min="10790" max="10790" width="6.4140625" style="3"/>
    <col min="10791" max="10791" width="6.4140625" style="2"/>
    <col min="10792" max="10792" width="6.4140625" style="3"/>
    <col min="10793" max="10794" width="6.4140625" style="2"/>
    <col min="10795" max="10795" width="6.4140625" style="1"/>
    <col min="10796" max="10796" width="6.4140625" style="2"/>
    <col min="10797" max="10797" width="6.4140625" style="3"/>
    <col min="10798" max="10798" width="6.4140625" style="2"/>
    <col min="10799" max="10799" width="6.4140625" style="3"/>
    <col min="10800" max="10801" width="6.4140625" style="2"/>
    <col min="10802" max="10802" width="6.4140625" style="1"/>
    <col min="10803" max="10803" width="6.4140625" style="2"/>
    <col min="10804" max="10804" width="6.4140625" style="3"/>
    <col min="10805" max="10805" width="6.4140625" style="2"/>
    <col min="10806" max="10806" width="6.4140625" style="3"/>
    <col min="10807" max="10808" width="6.4140625" style="2"/>
    <col min="10809" max="10809" width="6.4140625" style="1"/>
    <col min="10810" max="10810" width="6.4140625" style="2"/>
    <col min="10811" max="10811" width="6.4140625" style="3"/>
    <col min="10812" max="10812" width="6.4140625" style="2"/>
    <col min="10813" max="10813" width="6.4140625" style="3"/>
    <col min="10814" max="10815" width="6.4140625" style="2"/>
    <col min="10816" max="10816" width="6.4140625" style="1"/>
    <col min="10817" max="10817" width="6.4140625" style="2"/>
    <col min="10818" max="10818" width="6.4140625" style="3"/>
    <col min="10819" max="10819" width="6.4140625" style="2"/>
    <col min="10820" max="10820" width="6.4140625" style="3"/>
    <col min="10821" max="10822" width="6.4140625" style="2"/>
    <col min="10823" max="10823" width="6.4140625" style="1"/>
    <col min="10824" max="10824" width="6.4140625" style="2"/>
    <col min="10825" max="10825" width="6.4140625" style="3"/>
    <col min="10826" max="10826" width="6.4140625" style="2"/>
    <col min="10827" max="10827" width="6.4140625" style="3"/>
    <col min="10828" max="10829" width="6.4140625" style="2"/>
    <col min="10830" max="10830" width="6.4140625" style="1"/>
    <col min="10831" max="10831" width="6.4140625" style="2"/>
    <col min="10832" max="10832" width="6.4140625" style="3"/>
    <col min="10833" max="10833" width="6.4140625" style="2"/>
    <col min="10834" max="10834" width="6.4140625" style="3"/>
    <col min="10835" max="10836" width="6.4140625" style="2"/>
    <col min="10837" max="10837" width="6.4140625" style="1"/>
    <col min="10838" max="10838" width="6.4140625" style="2"/>
    <col min="10839" max="10839" width="6.4140625" style="3"/>
    <col min="10840" max="10840" width="6.4140625" style="2"/>
    <col min="10841" max="10841" width="6.4140625" style="3"/>
    <col min="10842" max="10843" width="6.4140625" style="2"/>
    <col min="10844" max="10844" width="6.4140625" style="1"/>
    <col min="10845" max="10845" width="6.4140625" style="2"/>
    <col min="10846" max="10846" width="6.4140625" style="3"/>
    <col min="10847" max="10847" width="6.4140625" style="2"/>
    <col min="10848" max="10848" width="6.4140625" style="3"/>
    <col min="10849" max="10850" width="6.4140625" style="2"/>
    <col min="10851" max="10851" width="6.4140625" style="1"/>
    <col min="10852" max="10852" width="6.4140625" style="2"/>
    <col min="10853" max="10853" width="6.4140625" style="3"/>
    <col min="10854" max="10854" width="6.4140625" style="2"/>
    <col min="10855" max="10855" width="6.4140625" style="3"/>
    <col min="10856" max="10857" width="6.4140625" style="2"/>
    <col min="10858" max="10858" width="6.4140625" style="1"/>
    <col min="10859" max="10859" width="6.4140625" style="2"/>
    <col min="10860" max="10860" width="6.4140625" style="3"/>
    <col min="10861" max="10861" width="6.4140625" style="2"/>
    <col min="10862" max="10862" width="6.4140625" style="3"/>
    <col min="10863" max="10864" width="6.4140625" style="2"/>
    <col min="10865" max="10865" width="6.4140625" style="1"/>
    <col min="10866" max="10866" width="6.4140625" style="2"/>
    <col min="10867" max="10867" width="6.4140625" style="3"/>
    <col min="10868" max="10868" width="6.4140625" style="2"/>
    <col min="10869" max="10869" width="6.4140625" style="3"/>
    <col min="10870" max="10871" width="6.4140625" style="2"/>
    <col min="10872" max="10872" width="6.4140625" style="1"/>
    <col min="10873" max="10873" width="6.4140625" style="2"/>
    <col min="10874" max="10874" width="6.4140625" style="3"/>
    <col min="10875" max="10875" width="6.4140625" style="2"/>
    <col min="10876" max="10876" width="6.4140625" style="3"/>
    <col min="10877" max="10878" width="6.4140625" style="2"/>
    <col min="10879" max="10879" width="6.4140625" style="1"/>
    <col min="10880" max="10880" width="6.4140625" style="2"/>
    <col min="10881" max="10881" width="6.4140625" style="3"/>
    <col min="10882" max="10882" width="6.4140625" style="2"/>
    <col min="10883" max="10883" width="6.4140625" style="3"/>
    <col min="10884" max="10885" width="6.4140625" style="2"/>
    <col min="10886" max="10886" width="6.4140625" style="1"/>
    <col min="10887" max="10887" width="6.4140625" style="2"/>
    <col min="10888" max="10888" width="6.4140625" style="3"/>
    <col min="10889" max="10889" width="6.4140625" style="2"/>
    <col min="10890" max="10890" width="6.4140625" style="3"/>
    <col min="10891" max="10892" width="6.4140625" style="2"/>
    <col min="10893" max="10893" width="6.4140625" style="1"/>
    <col min="10894" max="10894" width="6.4140625" style="2"/>
    <col min="10895" max="10895" width="6.4140625" style="3"/>
    <col min="10896" max="10896" width="6.4140625" style="2"/>
    <col min="10897" max="10897" width="6.4140625" style="3"/>
    <col min="10898" max="10899" width="6.4140625" style="2"/>
    <col min="10900" max="10900" width="6.4140625" style="1"/>
    <col min="10901" max="10901" width="6.4140625" style="2"/>
    <col min="10902" max="10902" width="6.4140625" style="3"/>
    <col min="10903" max="10903" width="6.4140625" style="2"/>
    <col min="10904" max="10904" width="6.4140625" style="3"/>
    <col min="10905" max="10906" width="6.4140625" style="2"/>
    <col min="10907" max="10907" width="6.4140625" style="1"/>
    <col min="10908" max="10908" width="6.4140625" style="2"/>
    <col min="10909" max="10909" width="6.4140625" style="3"/>
    <col min="10910" max="10910" width="6.4140625" style="2"/>
    <col min="10911" max="10911" width="6.4140625" style="3"/>
    <col min="10912" max="10913" width="6.4140625" style="2"/>
    <col min="10914" max="10914" width="6.4140625" style="1"/>
    <col min="10915" max="10915" width="6.4140625" style="2"/>
    <col min="10916" max="10916" width="6.4140625" style="3"/>
    <col min="10917" max="10917" width="6.4140625" style="2"/>
    <col min="10918" max="10918" width="6.4140625" style="3"/>
    <col min="10919" max="10920" width="6.4140625" style="2"/>
    <col min="10921" max="10921" width="6.4140625" style="1"/>
    <col min="10922" max="10922" width="6.4140625" style="2"/>
    <col min="10923" max="10923" width="6.4140625" style="3"/>
    <col min="10924" max="10924" width="6.4140625" style="2"/>
    <col min="10925" max="10925" width="6.4140625" style="3"/>
    <col min="10926" max="10927" width="6.4140625" style="2"/>
    <col min="10928" max="10928" width="6.4140625" style="1"/>
    <col min="10929" max="10929" width="6.4140625" style="2"/>
    <col min="10930" max="10930" width="6.4140625" style="3"/>
    <col min="10931" max="10931" width="6.4140625" style="2"/>
    <col min="10932" max="10932" width="6.4140625" style="3"/>
    <col min="10933" max="10934" width="6.4140625" style="2"/>
    <col min="10935" max="10935" width="6.4140625" style="1"/>
    <col min="10936" max="10936" width="6.4140625" style="2"/>
    <col min="10937" max="10937" width="6.4140625" style="3"/>
    <col min="10938" max="10938" width="6.4140625" style="2"/>
    <col min="10939" max="10939" width="6.4140625" style="3"/>
    <col min="10940" max="10941" width="6.4140625" style="2"/>
    <col min="10942" max="10942" width="6.4140625" style="1"/>
    <col min="10943" max="10943" width="6.4140625" style="2"/>
    <col min="10944" max="10944" width="6.4140625" style="3"/>
    <col min="10945" max="10945" width="6.4140625" style="2"/>
    <col min="10946" max="10946" width="6.4140625" style="3"/>
    <col min="10947" max="10948" width="6.4140625" style="2"/>
    <col min="10949" max="10949" width="6.4140625" style="1"/>
    <col min="10950" max="10950" width="6.4140625" style="2"/>
    <col min="10951" max="10951" width="6.4140625" style="3"/>
    <col min="10952" max="10952" width="6.4140625" style="2"/>
    <col min="10953" max="10953" width="6.4140625" style="3"/>
    <col min="10954" max="10955" width="6.4140625" style="2"/>
    <col min="10956" max="10956" width="6.4140625" style="1"/>
    <col min="10957" max="10957" width="6.4140625" style="2"/>
    <col min="10958" max="10958" width="6.4140625" style="3"/>
    <col min="10959" max="10959" width="6.4140625" style="2"/>
    <col min="10960" max="10960" width="6.4140625" style="3"/>
    <col min="10961" max="10962" width="6.4140625" style="2"/>
    <col min="10963" max="10963" width="6.4140625" style="1"/>
    <col min="10964" max="10964" width="6.4140625" style="2"/>
    <col min="10965" max="10965" width="6.4140625" style="3"/>
    <col min="10966" max="10966" width="6.4140625" style="2"/>
    <col min="10967" max="10967" width="6.4140625" style="3"/>
    <col min="10968" max="10969" width="6.4140625" style="2"/>
    <col min="10970" max="10970" width="6.4140625" style="1"/>
    <col min="10971" max="10971" width="6.4140625" style="2"/>
    <col min="10972" max="10972" width="6.4140625" style="3"/>
    <col min="10973" max="10973" width="6.4140625" style="2"/>
    <col min="10974" max="10974" width="6.4140625" style="3"/>
    <col min="10975" max="10976" width="6.4140625" style="2"/>
    <col min="10977" max="10977" width="6.4140625" style="1"/>
    <col min="10978" max="10978" width="6.4140625" style="2"/>
    <col min="10979" max="10979" width="6.4140625" style="3"/>
    <col min="10980" max="10980" width="6.4140625" style="2"/>
    <col min="10981" max="10981" width="6.4140625" style="3"/>
    <col min="10982" max="10983" width="6.4140625" style="2"/>
    <col min="10984" max="10984" width="6.4140625" style="1"/>
    <col min="10985" max="10985" width="6.4140625" style="2"/>
    <col min="10986" max="10986" width="6.4140625" style="3"/>
    <col min="10987" max="10987" width="6.4140625" style="2"/>
    <col min="10988" max="10988" width="6.4140625" style="3"/>
    <col min="10989" max="10990" width="6.4140625" style="2"/>
    <col min="10991" max="10991" width="6.4140625" style="1"/>
    <col min="10992" max="10992" width="6.4140625" style="2"/>
    <col min="10993" max="10993" width="6.4140625" style="3"/>
    <col min="10994" max="10994" width="6.4140625" style="2"/>
    <col min="10995" max="10995" width="6.4140625" style="3"/>
    <col min="10996" max="10997" width="6.4140625" style="2"/>
    <col min="10998" max="10998" width="6.4140625" style="1"/>
    <col min="10999" max="10999" width="6.4140625" style="2"/>
    <col min="11000" max="11000" width="6.4140625" style="3"/>
    <col min="11001" max="11001" width="6.4140625" style="2"/>
    <col min="11002" max="11002" width="6.4140625" style="3"/>
    <col min="11003" max="11004" width="6.4140625" style="2"/>
    <col min="11005" max="11005" width="6.4140625" style="1"/>
    <col min="11006" max="11006" width="6.4140625" style="2"/>
    <col min="11007" max="11007" width="6.4140625" style="3"/>
    <col min="11008" max="11008" width="6.4140625" style="2"/>
    <col min="11009" max="11009" width="6.4140625" style="3"/>
    <col min="11010" max="11011" width="6.4140625" style="2"/>
    <col min="11012" max="11012" width="6.4140625" style="1"/>
    <col min="11013" max="11013" width="6.4140625" style="2"/>
    <col min="11014" max="11014" width="6.4140625" style="3"/>
    <col min="11015" max="11015" width="6.4140625" style="2"/>
    <col min="11016" max="11016" width="6.4140625" style="3"/>
    <col min="11017" max="11018" width="6.4140625" style="2"/>
    <col min="11019" max="11019" width="6.4140625" style="1"/>
    <col min="11020" max="11020" width="6.4140625" style="2"/>
    <col min="11021" max="11021" width="6.4140625" style="3"/>
    <col min="11022" max="11022" width="6.4140625" style="2"/>
    <col min="11023" max="11023" width="6.4140625" style="3"/>
    <col min="11024" max="11025" width="6.4140625" style="2"/>
    <col min="11026" max="11026" width="6.4140625" style="1"/>
    <col min="11027" max="11027" width="6.4140625" style="2"/>
    <col min="11028" max="11028" width="6.4140625" style="3"/>
    <col min="11029" max="11029" width="6.4140625" style="2"/>
    <col min="11030" max="11030" width="6.4140625" style="3"/>
    <col min="11031" max="11032" width="6.4140625" style="2"/>
    <col min="11033" max="11033" width="6.4140625" style="1"/>
    <col min="11034" max="11034" width="6.4140625" style="2"/>
    <col min="11035" max="11035" width="6.4140625" style="3"/>
    <col min="11036" max="11036" width="6.4140625" style="2"/>
    <col min="11037" max="11037" width="6.4140625" style="3"/>
    <col min="11038" max="11039" width="6.4140625" style="2"/>
    <col min="11040" max="11040" width="6.4140625" style="1"/>
    <col min="11041" max="11041" width="6.4140625" style="2"/>
    <col min="11042" max="11042" width="6.4140625" style="3"/>
    <col min="11043" max="11043" width="6.4140625" style="2"/>
    <col min="11044" max="11044" width="6.4140625" style="3"/>
    <col min="11045" max="11046" width="6.4140625" style="2"/>
    <col min="11047" max="11047" width="6.4140625" style="1"/>
    <col min="11048" max="11048" width="6.4140625" style="2"/>
    <col min="11049" max="11049" width="6.4140625" style="3"/>
    <col min="11050" max="11050" width="6.4140625" style="2"/>
    <col min="11051" max="11051" width="6.4140625" style="3"/>
    <col min="11052" max="11053" width="6.4140625" style="2"/>
    <col min="11054" max="11054" width="6.4140625" style="1"/>
    <col min="11055" max="11055" width="6.4140625" style="2"/>
    <col min="11056" max="11056" width="6.4140625" style="3"/>
    <col min="11057" max="11057" width="6.4140625" style="2"/>
    <col min="11058" max="11058" width="6.4140625" style="3"/>
    <col min="11059" max="11060" width="6.4140625" style="2"/>
    <col min="11061" max="11061" width="6.4140625" style="1"/>
    <col min="11062" max="11062" width="6.4140625" style="2"/>
    <col min="11063" max="11063" width="6.4140625" style="3"/>
    <col min="11064" max="11064" width="6.4140625" style="2"/>
    <col min="11065" max="11065" width="6.4140625" style="3"/>
    <col min="11066" max="11067" width="6.4140625" style="2"/>
    <col min="11068" max="11068" width="6.4140625" style="1"/>
    <col min="11069" max="11069" width="6.4140625" style="2"/>
    <col min="11070" max="11070" width="6.4140625" style="3"/>
    <col min="11071" max="11071" width="6.4140625" style="2"/>
    <col min="11072" max="11072" width="6.4140625" style="3"/>
    <col min="11073" max="11074" width="6.4140625" style="2"/>
    <col min="11075" max="11075" width="6.4140625" style="1"/>
    <col min="11076" max="11076" width="6.4140625" style="2"/>
    <col min="11077" max="11077" width="6.4140625" style="3"/>
    <col min="11078" max="11078" width="6.4140625" style="2"/>
    <col min="11079" max="11079" width="6.4140625" style="3"/>
    <col min="11080" max="11081" width="6.4140625" style="2"/>
    <col min="11082" max="11082" width="6.4140625" style="1"/>
    <col min="11083" max="11083" width="6.4140625" style="2"/>
    <col min="11084" max="11084" width="6.4140625" style="3"/>
    <col min="11085" max="11085" width="6.4140625" style="2"/>
    <col min="11086" max="11086" width="6.4140625" style="3"/>
    <col min="11087" max="11088" width="6.4140625" style="2"/>
    <col min="11089" max="11089" width="6.4140625" style="1"/>
    <col min="11090" max="11090" width="6.4140625" style="2"/>
    <col min="11091" max="11091" width="6.4140625" style="3"/>
    <col min="11092" max="11092" width="6.4140625" style="2"/>
    <col min="11093" max="11093" width="6.4140625" style="3"/>
    <col min="11094" max="11095" width="6.4140625" style="2"/>
    <col min="11096" max="11096" width="6.4140625" style="1"/>
    <col min="11097" max="11097" width="6.4140625" style="2"/>
    <col min="11098" max="11098" width="6.4140625" style="3"/>
    <col min="11099" max="11099" width="6.4140625" style="2"/>
    <col min="11100" max="11100" width="6.4140625" style="3"/>
    <col min="11101" max="11102" width="6.4140625" style="2"/>
    <col min="11103" max="11103" width="6.4140625" style="1"/>
    <col min="11104" max="11104" width="6.4140625" style="2"/>
    <col min="11105" max="11105" width="6.4140625" style="3"/>
    <col min="11106" max="11106" width="6.4140625" style="2"/>
    <col min="11107" max="11107" width="6.4140625" style="3"/>
    <col min="11108" max="11109" width="6.4140625" style="2"/>
    <col min="11110" max="11110" width="6.4140625" style="1"/>
    <col min="11111" max="11111" width="6.4140625" style="2"/>
    <col min="11112" max="11112" width="6.4140625" style="3"/>
    <col min="11113" max="11113" width="6.4140625" style="2"/>
    <col min="11114" max="11114" width="6.4140625" style="3"/>
    <col min="11115" max="11116" width="6.4140625" style="2"/>
    <col min="11117" max="11117" width="6.4140625" style="1"/>
    <col min="11118" max="11118" width="6.4140625" style="2"/>
    <col min="11119" max="11119" width="6.4140625" style="3"/>
    <col min="11120" max="11120" width="6.4140625" style="2"/>
    <col min="11121" max="11121" width="6.4140625" style="3"/>
    <col min="11122" max="11123" width="6.4140625" style="2"/>
    <col min="11124" max="11124" width="6.4140625" style="1"/>
    <col min="11125" max="11125" width="6.4140625" style="2"/>
    <col min="11126" max="11126" width="6.4140625" style="3"/>
    <col min="11127" max="11127" width="6.4140625" style="2"/>
    <col min="11128" max="11128" width="6.4140625" style="3"/>
    <col min="11129" max="11130" width="6.4140625" style="2"/>
    <col min="11131" max="11131" width="6.4140625" style="1"/>
    <col min="11132" max="11132" width="6.4140625" style="2"/>
    <col min="11133" max="11133" width="6.4140625" style="3"/>
    <col min="11134" max="11134" width="6.4140625" style="2"/>
    <col min="11135" max="11135" width="6.4140625" style="3"/>
    <col min="11136" max="11137" width="6.4140625" style="2"/>
    <col min="11138" max="11138" width="6.4140625" style="1"/>
    <col min="11139" max="11139" width="6.4140625" style="2"/>
    <col min="11140" max="11140" width="6.4140625" style="3"/>
    <col min="11141" max="11141" width="6.4140625" style="2"/>
    <col min="11142" max="11142" width="6.4140625" style="3"/>
    <col min="11143" max="11144" width="6.4140625" style="2"/>
    <col min="11145" max="11145" width="6.4140625" style="1"/>
    <col min="11146" max="11146" width="6.4140625" style="2"/>
    <col min="11147" max="11147" width="6.4140625" style="3"/>
    <col min="11148" max="11148" width="6.4140625" style="2"/>
    <col min="11149" max="11149" width="6.4140625" style="3"/>
    <col min="11150" max="11151" width="6.4140625" style="2"/>
    <col min="11152" max="11152" width="6.4140625" style="1"/>
    <col min="11153" max="11153" width="6.4140625" style="2"/>
    <col min="11154" max="11154" width="6.4140625" style="3"/>
    <col min="11155" max="11155" width="6.4140625" style="2"/>
    <col min="11156" max="11156" width="6.4140625" style="3"/>
    <col min="11157" max="11158" width="6.4140625" style="2"/>
    <col min="11159" max="11159" width="6.4140625" style="1"/>
    <col min="11160" max="11160" width="6.4140625" style="2"/>
    <col min="11161" max="11161" width="6.4140625" style="3"/>
    <col min="11162" max="11162" width="6.4140625" style="2"/>
    <col min="11163" max="11163" width="6.4140625" style="3"/>
    <col min="11164" max="11165" width="6.4140625" style="2"/>
    <col min="11166" max="11166" width="6.4140625" style="1"/>
    <col min="11167" max="11167" width="6.4140625" style="2"/>
    <col min="11168" max="11168" width="6.4140625" style="3"/>
    <col min="11169" max="11169" width="6.4140625" style="2"/>
    <col min="11170" max="11170" width="6.4140625" style="3"/>
    <col min="11171" max="11172" width="6.4140625" style="2"/>
    <col min="11173" max="11173" width="6.4140625" style="1"/>
    <col min="11174" max="11174" width="6.4140625" style="2"/>
    <col min="11175" max="11175" width="6.4140625" style="3"/>
    <col min="11176" max="11176" width="6.4140625" style="2"/>
    <col min="11177" max="11177" width="6.4140625" style="3"/>
    <col min="11178" max="11179" width="6.4140625" style="2"/>
    <col min="11180" max="11180" width="6.4140625" style="1"/>
    <col min="11181" max="11181" width="6.4140625" style="2"/>
    <col min="11182" max="11182" width="6.4140625" style="3"/>
    <col min="11183" max="11183" width="6.4140625" style="2"/>
    <col min="11184" max="11184" width="6.4140625" style="3"/>
    <col min="11185" max="11186" width="6.4140625" style="2"/>
    <col min="11187" max="11187" width="6.4140625" style="1"/>
    <col min="11188" max="11188" width="6.4140625" style="2"/>
    <col min="11189" max="11189" width="6.4140625" style="3"/>
    <col min="11190" max="11190" width="6.4140625" style="2"/>
    <col min="11191" max="11191" width="6.4140625" style="3"/>
    <col min="11192" max="11193" width="6.4140625" style="2"/>
    <col min="11194" max="11194" width="6.4140625" style="1"/>
    <col min="11195" max="11195" width="6.4140625" style="2"/>
    <col min="11196" max="11196" width="6.4140625" style="3"/>
    <col min="11197" max="11197" width="6.4140625" style="2"/>
    <col min="11198" max="11198" width="6.4140625" style="3"/>
    <col min="11199" max="11200" width="6.4140625" style="2"/>
    <col min="11201" max="11201" width="6.4140625" style="1"/>
    <col min="11202" max="11202" width="6.4140625" style="2"/>
    <col min="11203" max="11203" width="6.4140625" style="3"/>
    <col min="11204" max="11204" width="6.4140625" style="2"/>
    <col min="11205" max="11205" width="6.4140625" style="3"/>
    <col min="11206" max="11207" width="6.4140625" style="2"/>
    <col min="11208" max="11208" width="6.4140625" style="1"/>
    <col min="11209" max="11209" width="6.4140625" style="2"/>
    <col min="11210" max="11210" width="6.4140625" style="3"/>
    <col min="11211" max="11211" width="6.4140625" style="2"/>
    <col min="11212" max="11212" width="6.4140625" style="3"/>
    <col min="11213" max="11214" width="6.4140625" style="2"/>
    <col min="11215" max="11215" width="6.4140625" style="1"/>
    <col min="11216" max="11216" width="6.4140625" style="2"/>
    <col min="11217" max="11217" width="6.4140625" style="3"/>
    <col min="11218" max="11218" width="6.4140625" style="2"/>
    <col min="11219" max="11219" width="6.4140625" style="3"/>
    <col min="11220" max="11221" width="6.4140625" style="2"/>
    <col min="11222" max="11222" width="6.4140625" style="1"/>
    <col min="11223" max="11223" width="6.4140625" style="2"/>
    <col min="11224" max="11224" width="6.4140625" style="3"/>
    <col min="11225" max="11225" width="6.4140625" style="2"/>
    <col min="11226" max="11226" width="6.4140625" style="3"/>
    <col min="11227" max="11228" width="6.4140625" style="2"/>
    <col min="11229" max="11229" width="6.4140625" style="1"/>
    <col min="11230" max="11230" width="6.4140625" style="2"/>
    <col min="11231" max="11231" width="6.4140625" style="3"/>
    <col min="11232" max="11232" width="6.4140625" style="2"/>
    <col min="11233" max="11233" width="6.4140625" style="3"/>
    <col min="11234" max="11235" width="6.4140625" style="2"/>
    <col min="11236" max="11236" width="6.4140625" style="1"/>
    <col min="11237" max="11237" width="6.4140625" style="2"/>
    <col min="11238" max="11238" width="6.4140625" style="3"/>
    <col min="11239" max="11239" width="6.4140625" style="2"/>
    <col min="11240" max="11240" width="6.4140625" style="3"/>
    <col min="11241" max="11242" width="6.4140625" style="2"/>
    <col min="11243" max="11243" width="6.4140625" style="1"/>
    <col min="11244" max="11244" width="6.4140625" style="2"/>
    <col min="11245" max="11245" width="6.4140625" style="3"/>
    <col min="11246" max="11246" width="6.4140625" style="2"/>
    <col min="11247" max="11247" width="6.4140625" style="3"/>
    <col min="11248" max="11249" width="6.4140625" style="2"/>
    <col min="11250" max="11250" width="6.4140625" style="1"/>
    <col min="11251" max="11251" width="6.4140625" style="2"/>
    <col min="11252" max="11252" width="6.4140625" style="3"/>
    <col min="11253" max="11253" width="6.4140625" style="2"/>
    <col min="11254" max="11254" width="6.4140625" style="3"/>
    <col min="11255" max="11256" width="6.4140625" style="2"/>
    <col min="11257" max="11257" width="6.4140625" style="1"/>
    <col min="11258" max="11258" width="6.4140625" style="2"/>
    <col min="11259" max="11259" width="6.4140625" style="3"/>
    <col min="11260" max="11260" width="6.4140625" style="2"/>
    <col min="11261" max="11261" width="6.4140625" style="3"/>
    <col min="11262" max="11263" width="6.4140625" style="2"/>
    <col min="11264" max="11264" width="6.4140625" style="1"/>
    <col min="11265" max="11265" width="6.4140625" style="2"/>
    <col min="11266" max="11266" width="6.4140625" style="3"/>
    <col min="11267" max="11267" width="6.4140625" style="2"/>
    <col min="11268" max="11268" width="6.4140625" style="3"/>
    <col min="11269" max="11270" width="6.4140625" style="2"/>
    <col min="11271" max="11271" width="6.4140625" style="1"/>
    <col min="11272" max="11272" width="6.4140625" style="2"/>
    <col min="11273" max="11273" width="6.4140625" style="3"/>
    <col min="11274" max="11274" width="6.4140625" style="2"/>
    <col min="11275" max="11275" width="6.4140625" style="3"/>
    <col min="11276" max="11277" width="6.4140625" style="2"/>
    <col min="11278" max="11278" width="6.4140625" style="1"/>
    <col min="11279" max="11279" width="6.4140625" style="2"/>
    <col min="11280" max="11280" width="6.4140625" style="3"/>
    <col min="11281" max="11281" width="6.4140625" style="2"/>
    <col min="11282" max="11282" width="6.4140625" style="3"/>
    <col min="11283" max="11284" width="6.4140625" style="2"/>
    <col min="11285" max="11285" width="6.4140625" style="1"/>
    <col min="11286" max="11286" width="6.4140625" style="2"/>
    <col min="11287" max="11287" width="6.4140625" style="3"/>
    <col min="11288" max="11288" width="6.4140625" style="2"/>
    <col min="11289" max="11289" width="6.4140625" style="3"/>
    <col min="11290" max="11291" width="6.4140625" style="2"/>
    <col min="11292" max="11292" width="6.4140625" style="1"/>
    <col min="11293" max="11293" width="6.4140625" style="2"/>
    <col min="11294" max="11294" width="6.4140625" style="3"/>
    <col min="11295" max="11295" width="6.4140625" style="2"/>
    <col min="11296" max="11296" width="6.4140625" style="3"/>
    <col min="11297" max="11298" width="6.4140625" style="2"/>
    <col min="11299" max="11299" width="6.4140625" style="1"/>
    <col min="11300" max="11300" width="6.4140625" style="2"/>
    <col min="11301" max="11301" width="6.4140625" style="3"/>
    <col min="11302" max="11302" width="6.4140625" style="2"/>
    <col min="11303" max="11303" width="6.4140625" style="3"/>
    <col min="11304" max="11305" width="6.4140625" style="2"/>
    <col min="11306" max="11306" width="6.4140625" style="1"/>
    <col min="11307" max="11307" width="6.4140625" style="2"/>
    <col min="11308" max="11308" width="6.4140625" style="3"/>
    <col min="11309" max="11309" width="6.4140625" style="2"/>
    <col min="11310" max="11310" width="6.4140625" style="3"/>
    <col min="11311" max="11312" width="6.4140625" style="2"/>
    <col min="11313" max="11313" width="6.4140625" style="1"/>
    <col min="11314" max="11314" width="6.4140625" style="2"/>
    <col min="11315" max="11315" width="6.4140625" style="3"/>
    <col min="11316" max="11316" width="6.4140625" style="2"/>
    <col min="11317" max="11317" width="6.4140625" style="3"/>
    <col min="11318" max="11319" width="6.4140625" style="2"/>
    <col min="11320" max="11320" width="6.4140625" style="1"/>
    <col min="11321" max="11321" width="6.4140625" style="2"/>
    <col min="11322" max="11322" width="6.4140625" style="3"/>
    <col min="11323" max="11323" width="6.4140625" style="2"/>
    <col min="11324" max="11324" width="6.4140625" style="3"/>
    <col min="11325" max="11326" width="6.4140625" style="2"/>
    <col min="11327" max="11327" width="6.4140625" style="1"/>
    <col min="11328" max="11328" width="6.4140625" style="2"/>
    <col min="11329" max="11329" width="6.4140625" style="3"/>
    <col min="11330" max="11330" width="6.4140625" style="2"/>
    <col min="11331" max="11331" width="6.4140625" style="3"/>
    <col min="11332" max="11333" width="6.4140625" style="2"/>
    <col min="11334" max="11334" width="6.4140625" style="1"/>
    <col min="11335" max="11335" width="6.4140625" style="2"/>
    <col min="11336" max="11336" width="6.4140625" style="3"/>
    <col min="11337" max="11337" width="6.4140625" style="2"/>
    <col min="11338" max="11338" width="6.4140625" style="3"/>
    <col min="11339" max="11340" width="6.4140625" style="2"/>
    <col min="11341" max="11341" width="6.4140625" style="1"/>
    <col min="11342" max="11342" width="6.4140625" style="2"/>
    <col min="11343" max="11343" width="6.4140625" style="3"/>
    <col min="11344" max="11344" width="6.4140625" style="2"/>
    <col min="11345" max="11345" width="6.4140625" style="3"/>
    <col min="11346" max="11347" width="6.4140625" style="2"/>
    <col min="11348" max="11348" width="6.4140625" style="1"/>
    <col min="11349" max="11349" width="6.4140625" style="2"/>
    <col min="11350" max="11350" width="6.4140625" style="3"/>
    <col min="11351" max="11351" width="6.4140625" style="2"/>
    <col min="11352" max="11352" width="6.4140625" style="3"/>
    <col min="11353" max="11354" width="6.4140625" style="2"/>
    <col min="11355" max="11355" width="6.4140625" style="1"/>
    <col min="11356" max="11356" width="6.4140625" style="2"/>
    <col min="11357" max="11357" width="6.4140625" style="3"/>
    <col min="11358" max="11358" width="6.4140625" style="2"/>
    <col min="11359" max="11359" width="6.4140625" style="3"/>
    <col min="11360" max="11361" width="6.4140625" style="2"/>
    <col min="11362" max="11362" width="6.4140625" style="1"/>
    <col min="11363" max="11363" width="6.4140625" style="2"/>
    <col min="11364" max="11364" width="6.4140625" style="3"/>
    <col min="11365" max="11365" width="6.4140625" style="2"/>
    <col min="11366" max="11366" width="6.4140625" style="3"/>
    <col min="11367" max="11368" width="6.4140625" style="2"/>
    <col min="11369" max="11369" width="6.4140625" style="1"/>
    <col min="11370" max="11370" width="6.4140625" style="2"/>
    <col min="11371" max="11371" width="6.4140625" style="3"/>
    <col min="11372" max="11372" width="6.4140625" style="2"/>
    <col min="11373" max="11373" width="6.4140625" style="3"/>
    <col min="11374" max="11375" width="6.4140625" style="2"/>
    <col min="11376" max="11376" width="6.4140625" style="1"/>
    <col min="11377" max="11377" width="6.4140625" style="2"/>
    <col min="11378" max="11378" width="6.4140625" style="3"/>
    <col min="11379" max="11379" width="6.4140625" style="2"/>
    <col min="11380" max="11380" width="6.4140625" style="3"/>
    <col min="11381" max="11382" width="6.4140625" style="2"/>
    <col min="11383" max="11383" width="6.4140625" style="1"/>
    <col min="11384" max="11384" width="6.4140625" style="2"/>
    <col min="11385" max="11385" width="6.4140625" style="3"/>
    <col min="11386" max="11386" width="6.4140625" style="2"/>
    <col min="11387" max="11387" width="6.4140625" style="3"/>
    <col min="11388" max="11389" width="6.4140625" style="2"/>
    <col min="11390" max="11390" width="6.4140625" style="1"/>
    <col min="11391" max="11391" width="6.4140625" style="2"/>
    <col min="11392" max="11392" width="6.4140625" style="3"/>
    <col min="11393" max="11393" width="6.4140625" style="2"/>
    <col min="11394" max="11394" width="6.4140625" style="3"/>
    <col min="11395" max="11396" width="6.4140625" style="2"/>
    <col min="11397" max="11397" width="6.4140625" style="1"/>
    <col min="11398" max="11398" width="6.4140625" style="2"/>
    <col min="11399" max="11399" width="6.4140625" style="3"/>
    <col min="11400" max="11400" width="6.4140625" style="2"/>
    <col min="11401" max="11401" width="6.4140625" style="3"/>
    <col min="11402" max="11403" width="6.4140625" style="2"/>
    <col min="11404" max="11404" width="6.4140625" style="1"/>
    <col min="11405" max="11405" width="6.4140625" style="2"/>
    <col min="11406" max="11406" width="6.4140625" style="3"/>
    <col min="11407" max="11407" width="6.4140625" style="2"/>
    <col min="11408" max="11408" width="6.4140625" style="3"/>
    <col min="11409" max="11410" width="6.4140625" style="2"/>
    <col min="11411" max="11411" width="6.4140625" style="1"/>
    <col min="11412" max="11412" width="6.4140625" style="2"/>
    <col min="11413" max="11413" width="6.4140625" style="3"/>
    <col min="11414" max="11414" width="6.4140625" style="2"/>
    <col min="11415" max="11415" width="6.4140625" style="3"/>
    <col min="11416" max="11417" width="6.4140625" style="2"/>
    <col min="11418" max="11418" width="6.4140625" style="1"/>
    <col min="11419" max="11419" width="6.4140625" style="2"/>
    <col min="11420" max="11420" width="6.4140625" style="3"/>
    <col min="11421" max="11421" width="6.4140625" style="2"/>
    <col min="11422" max="11422" width="6.4140625" style="3"/>
    <col min="11423" max="11424" width="6.4140625" style="2"/>
    <col min="11425" max="11425" width="6.4140625" style="1"/>
    <col min="11426" max="11426" width="6.4140625" style="2"/>
    <col min="11427" max="11427" width="6.4140625" style="3"/>
    <col min="11428" max="11428" width="6.4140625" style="2"/>
    <col min="11429" max="11429" width="6.4140625" style="3"/>
    <col min="11430" max="11431" width="6.4140625" style="2"/>
    <col min="11432" max="11432" width="6.4140625" style="1"/>
    <col min="11433" max="11433" width="6.4140625" style="2"/>
    <col min="11434" max="11434" width="6.4140625" style="3"/>
    <col min="11435" max="11435" width="6.4140625" style="2"/>
    <col min="11436" max="11436" width="6.4140625" style="3"/>
    <col min="11437" max="11438" width="6.4140625" style="2"/>
    <col min="11439" max="11439" width="6.4140625" style="1"/>
    <col min="11440" max="11440" width="6.4140625" style="2"/>
    <col min="11441" max="11441" width="6.4140625" style="3"/>
    <col min="11442" max="11442" width="6.4140625" style="2"/>
    <col min="11443" max="11443" width="6.4140625" style="3"/>
    <col min="11444" max="11445" width="6.4140625" style="2"/>
    <col min="11446" max="11446" width="6.4140625" style="1"/>
    <col min="11447" max="11447" width="6.4140625" style="2"/>
    <col min="11448" max="11448" width="6.4140625" style="3"/>
    <col min="11449" max="11449" width="6.4140625" style="2"/>
    <col min="11450" max="11450" width="6.4140625" style="3"/>
    <col min="11451" max="11452" width="6.4140625" style="2"/>
    <col min="11453" max="11453" width="6.4140625" style="1"/>
    <col min="11454" max="11454" width="6.4140625" style="2"/>
    <col min="11455" max="11455" width="6.4140625" style="3"/>
    <col min="11456" max="11456" width="6.4140625" style="2"/>
    <col min="11457" max="11457" width="6.4140625" style="3"/>
    <col min="11458" max="11459" width="6.4140625" style="2"/>
    <col min="11460" max="11460" width="6.4140625" style="1"/>
    <col min="11461" max="11461" width="6.4140625" style="2"/>
    <col min="11462" max="11462" width="6.4140625" style="3"/>
    <col min="11463" max="11463" width="6.4140625" style="2"/>
    <col min="11464" max="11464" width="6.4140625" style="3"/>
    <col min="11465" max="11466" width="6.4140625" style="2"/>
    <col min="11467" max="11467" width="6.4140625" style="1"/>
    <col min="11468" max="11468" width="6.4140625" style="2"/>
    <col min="11469" max="11469" width="6.4140625" style="3"/>
    <col min="11470" max="11470" width="6.4140625" style="2"/>
    <col min="11471" max="11471" width="6.4140625" style="3"/>
    <col min="11472" max="11473" width="6.4140625" style="2"/>
    <col min="11474" max="11474" width="6.4140625" style="1"/>
    <col min="11475" max="11475" width="6.4140625" style="2"/>
    <col min="11476" max="11476" width="6.4140625" style="3"/>
    <col min="11477" max="11477" width="6.4140625" style="2"/>
    <col min="11478" max="11478" width="6.4140625" style="3"/>
    <col min="11479" max="11480" width="6.4140625" style="2"/>
    <col min="11481" max="11481" width="6.4140625" style="1"/>
    <col min="11482" max="11482" width="6.4140625" style="2"/>
    <col min="11483" max="11483" width="6.4140625" style="3"/>
    <col min="11484" max="11484" width="6.4140625" style="2"/>
    <col min="11485" max="11485" width="6.4140625" style="3"/>
    <col min="11486" max="11487" width="6.4140625" style="2"/>
    <col min="11488" max="11488" width="6.4140625" style="1"/>
    <col min="11489" max="11489" width="6.4140625" style="2"/>
    <col min="11490" max="11490" width="6.4140625" style="3"/>
    <col min="11491" max="11491" width="6.4140625" style="2"/>
    <col min="11492" max="11492" width="6.4140625" style="3"/>
    <col min="11493" max="11494" width="6.4140625" style="2"/>
    <col min="11495" max="11495" width="6.4140625" style="1"/>
    <col min="11496" max="11496" width="6.4140625" style="2"/>
    <col min="11497" max="11497" width="6.4140625" style="3"/>
    <col min="11498" max="11498" width="6.4140625" style="2"/>
    <col min="11499" max="11499" width="6.4140625" style="3"/>
    <col min="11500" max="11501" width="6.4140625" style="2"/>
    <col min="11502" max="11502" width="6.4140625" style="1"/>
    <col min="11503" max="11503" width="6.4140625" style="2"/>
    <col min="11504" max="11504" width="6.4140625" style="3"/>
    <col min="11505" max="11505" width="6.4140625" style="2"/>
    <col min="11506" max="11506" width="6.4140625" style="3"/>
    <col min="11507" max="11508" width="6.4140625" style="2"/>
    <col min="11509" max="11509" width="6.4140625" style="1"/>
    <col min="11510" max="11510" width="6.4140625" style="2"/>
    <col min="11511" max="11511" width="6.4140625" style="3"/>
    <col min="11512" max="11512" width="6.4140625" style="2"/>
    <col min="11513" max="11513" width="6.4140625" style="3"/>
    <col min="11514" max="11515" width="6.4140625" style="2"/>
    <col min="11516" max="11516" width="6.4140625" style="1"/>
    <col min="11517" max="11517" width="6.4140625" style="2"/>
    <col min="11518" max="11518" width="6.4140625" style="3"/>
    <col min="11519" max="11519" width="6.4140625" style="2"/>
    <col min="11520" max="11520" width="6.4140625" style="3"/>
    <col min="11521" max="11522" width="6.4140625" style="2"/>
    <col min="11523" max="11523" width="6.4140625" style="1"/>
    <col min="11524" max="11524" width="6.4140625" style="2"/>
    <col min="11525" max="11525" width="6.4140625" style="3"/>
    <col min="11526" max="11526" width="6.4140625" style="2"/>
    <col min="11527" max="11527" width="6.4140625" style="3"/>
    <col min="11528" max="11529" width="6.4140625" style="2"/>
    <col min="11530" max="11530" width="6.4140625" style="1"/>
    <col min="11531" max="11531" width="6.4140625" style="2"/>
    <col min="11532" max="11532" width="6.4140625" style="3"/>
    <col min="11533" max="11533" width="6.4140625" style="2"/>
    <col min="11534" max="11534" width="6.4140625" style="3"/>
    <col min="11535" max="11536" width="6.4140625" style="2"/>
    <col min="11537" max="11537" width="6.4140625" style="1"/>
    <col min="11538" max="11538" width="6.4140625" style="2"/>
    <col min="11539" max="11539" width="6.4140625" style="3"/>
    <col min="11540" max="11540" width="6.4140625" style="2"/>
    <col min="11541" max="11541" width="6.4140625" style="3"/>
    <col min="11542" max="11543" width="6.4140625" style="2"/>
    <col min="11544" max="11544" width="6.4140625" style="1"/>
    <col min="11545" max="11545" width="6.4140625" style="2"/>
    <col min="11546" max="11546" width="6.4140625" style="3"/>
    <col min="11547" max="11547" width="6.4140625" style="2"/>
    <col min="11548" max="11548" width="6.4140625" style="3"/>
    <col min="11549" max="11550" width="6.4140625" style="2"/>
    <col min="11551" max="11551" width="6.4140625" style="1"/>
    <col min="11552" max="11552" width="6.4140625" style="2"/>
    <col min="11553" max="11553" width="6.4140625" style="3"/>
    <col min="11554" max="11554" width="6.4140625" style="2"/>
    <col min="11555" max="11555" width="6.4140625" style="3"/>
    <col min="11556" max="11557" width="6.4140625" style="2"/>
    <col min="11558" max="11558" width="6.4140625" style="1"/>
    <col min="11559" max="11559" width="6.4140625" style="2"/>
    <col min="11560" max="11560" width="6.4140625" style="3"/>
    <col min="11561" max="11561" width="6.4140625" style="2"/>
    <col min="11562" max="11562" width="6.4140625" style="3"/>
    <col min="11563" max="11564" width="6.4140625" style="2"/>
    <col min="11565" max="11565" width="6.4140625" style="1"/>
    <col min="11566" max="11566" width="6.4140625" style="2"/>
    <col min="11567" max="11567" width="6.4140625" style="3"/>
    <col min="11568" max="11568" width="6.4140625" style="2"/>
    <col min="11569" max="11569" width="6.4140625" style="3"/>
    <col min="11570" max="11571" width="6.4140625" style="2"/>
    <col min="11572" max="11572" width="6.4140625" style="1"/>
    <col min="11573" max="11573" width="6.4140625" style="2"/>
    <col min="11574" max="11574" width="6.4140625" style="3"/>
    <col min="11575" max="11575" width="6.4140625" style="2"/>
    <col min="11576" max="11576" width="6.4140625" style="3"/>
    <col min="11577" max="11578" width="6.4140625" style="2"/>
    <col min="11579" max="11579" width="6.4140625" style="1"/>
    <col min="11580" max="11580" width="6.4140625" style="2"/>
    <col min="11581" max="11581" width="6.4140625" style="3"/>
    <col min="11582" max="11582" width="6.4140625" style="2"/>
    <col min="11583" max="11583" width="6.4140625" style="3"/>
    <col min="11584" max="11585" width="6.4140625" style="2"/>
    <col min="11586" max="11586" width="6.4140625" style="1"/>
    <col min="11587" max="11587" width="6.4140625" style="2"/>
    <col min="11588" max="11588" width="6.4140625" style="3"/>
    <col min="11589" max="11589" width="6.4140625" style="2"/>
    <col min="11590" max="11590" width="6.4140625" style="3"/>
    <col min="11591" max="11592" width="6.4140625" style="2"/>
    <col min="11593" max="11593" width="6.4140625" style="1"/>
    <col min="11594" max="11594" width="6.4140625" style="2"/>
    <col min="11595" max="11595" width="6.4140625" style="3"/>
    <col min="11596" max="11596" width="6.4140625" style="2"/>
    <col min="11597" max="11597" width="6.4140625" style="3"/>
    <col min="11598" max="11599" width="6.4140625" style="2"/>
    <col min="11600" max="11600" width="6.4140625" style="1"/>
    <col min="11601" max="11601" width="6.4140625" style="2"/>
    <col min="11602" max="11602" width="6.4140625" style="3"/>
    <col min="11603" max="11603" width="6.4140625" style="2"/>
    <col min="11604" max="11604" width="6.4140625" style="3"/>
    <col min="11605" max="11606" width="6.4140625" style="2"/>
    <col min="11607" max="11607" width="6.4140625" style="1"/>
    <col min="11608" max="11608" width="6.4140625" style="2"/>
    <col min="11609" max="11609" width="6.4140625" style="3"/>
    <col min="11610" max="11610" width="6.4140625" style="2"/>
    <col min="11611" max="11611" width="6.4140625" style="3"/>
    <col min="11612" max="11613" width="6.4140625" style="2"/>
    <col min="11614" max="11614" width="6.4140625" style="1"/>
    <col min="11615" max="11615" width="6.4140625" style="2"/>
    <col min="11616" max="11616" width="6.4140625" style="3"/>
    <col min="11617" max="11617" width="6.4140625" style="2"/>
    <col min="11618" max="11618" width="6.4140625" style="3"/>
    <col min="11619" max="11620" width="6.4140625" style="2"/>
    <col min="11621" max="11621" width="6.4140625" style="1"/>
    <col min="11622" max="11622" width="6.4140625" style="2"/>
    <col min="11623" max="11623" width="6.4140625" style="3"/>
    <col min="11624" max="11624" width="6.4140625" style="2"/>
    <col min="11625" max="11625" width="6.4140625" style="3"/>
    <col min="11626" max="11627" width="6.4140625" style="2"/>
    <col min="11628" max="11628" width="6.4140625" style="1"/>
    <col min="11629" max="11629" width="6.4140625" style="2"/>
    <col min="11630" max="11630" width="6.4140625" style="3"/>
    <col min="11631" max="11631" width="6.4140625" style="2"/>
    <col min="11632" max="11632" width="6.4140625" style="3"/>
    <col min="11633" max="11634" width="6.4140625" style="2"/>
    <col min="11635" max="11635" width="6.4140625" style="1"/>
    <col min="11636" max="11636" width="6.4140625" style="2"/>
    <col min="11637" max="11637" width="6.4140625" style="3"/>
    <col min="11638" max="11638" width="6.4140625" style="2"/>
    <col min="11639" max="11639" width="6.4140625" style="3"/>
    <col min="11640" max="11641" width="6.4140625" style="2"/>
    <col min="11642" max="11642" width="6.4140625" style="1"/>
    <col min="11643" max="11643" width="6.4140625" style="2"/>
    <col min="11644" max="11644" width="6.4140625" style="3"/>
    <col min="11645" max="11645" width="6.4140625" style="2"/>
    <col min="11646" max="11646" width="6.4140625" style="3"/>
    <col min="11647" max="11648" width="6.4140625" style="2"/>
    <col min="11649" max="11649" width="6.4140625" style="1"/>
    <col min="11650" max="11650" width="6.4140625" style="2"/>
    <col min="11651" max="11651" width="6.4140625" style="3"/>
    <col min="11652" max="11652" width="6.4140625" style="2"/>
    <col min="11653" max="11653" width="6.4140625" style="3"/>
    <col min="11654" max="11655" width="6.4140625" style="2"/>
    <col min="11656" max="11656" width="6.4140625" style="1"/>
    <col min="11657" max="11657" width="6.4140625" style="2"/>
    <col min="11658" max="11658" width="6.4140625" style="3"/>
    <col min="11659" max="11659" width="6.4140625" style="2"/>
    <col min="11660" max="11660" width="6.4140625" style="3"/>
    <col min="11661" max="11662" width="6.4140625" style="2"/>
    <col min="11663" max="11663" width="6.4140625" style="1"/>
    <col min="11664" max="11664" width="6.4140625" style="2"/>
    <col min="11665" max="11665" width="6.4140625" style="3"/>
    <col min="11666" max="11666" width="6.4140625" style="2"/>
    <col min="11667" max="11667" width="6.4140625" style="3"/>
    <col min="11668" max="11669" width="6.4140625" style="2"/>
    <col min="11670" max="11670" width="6.4140625" style="1"/>
    <col min="11671" max="11671" width="6.4140625" style="2"/>
    <col min="11672" max="11672" width="6.4140625" style="3"/>
    <col min="11673" max="11673" width="6.4140625" style="2"/>
    <col min="11674" max="11674" width="6.4140625" style="3"/>
    <col min="11675" max="11676" width="6.4140625" style="2"/>
    <col min="11677" max="11677" width="6.4140625" style="1"/>
    <col min="11678" max="11678" width="6.4140625" style="2"/>
    <col min="11679" max="11679" width="6.4140625" style="3"/>
    <col min="11680" max="11680" width="6.4140625" style="2"/>
    <col min="11681" max="11681" width="6.4140625" style="3"/>
    <col min="11682" max="11683" width="6.4140625" style="2"/>
    <col min="11684" max="11684" width="6.4140625" style="1"/>
    <col min="11685" max="11685" width="6.4140625" style="2"/>
    <col min="11686" max="11686" width="6.4140625" style="3"/>
    <col min="11687" max="11687" width="6.4140625" style="2"/>
    <col min="11688" max="11688" width="6.4140625" style="3"/>
    <col min="11689" max="11690" width="6.4140625" style="2"/>
    <col min="11691" max="11691" width="6.4140625" style="1"/>
    <col min="11692" max="11692" width="6.4140625" style="2"/>
    <col min="11693" max="11693" width="6.4140625" style="3"/>
    <col min="11694" max="11694" width="6.4140625" style="2"/>
    <col min="11695" max="11695" width="6.4140625" style="3"/>
    <col min="11696" max="11697" width="6.4140625" style="2"/>
    <col min="11698" max="11698" width="6.4140625" style="1"/>
    <col min="11699" max="11699" width="6.4140625" style="2"/>
    <col min="11700" max="11700" width="6.4140625" style="3"/>
    <col min="11701" max="11701" width="6.4140625" style="2"/>
    <col min="11702" max="11702" width="6.4140625" style="3"/>
    <col min="11703" max="11704" width="6.4140625" style="2"/>
    <col min="11705" max="11705" width="6.4140625" style="1"/>
    <col min="11706" max="11706" width="6.4140625" style="2"/>
    <col min="11707" max="11707" width="6.4140625" style="3"/>
    <col min="11708" max="11708" width="6.4140625" style="2"/>
    <col min="11709" max="11709" width="6.4140625" style="3"/>
    <col min="11710" max="11711" width="6.4140625" style="2"/>
    <col min="11712" max="11712" width="6.4140625" style="1"/>
    <col min="11713" max="11713" width="6.4140625" style="2"/>
    <col min="11714" max="11714" width="6.4140625" style="3"/>
    <col min="11715" max="11715" width="6.4140625" style="2"/>
    <col min="11716" max="11716" width="6.4140625" style="3"/>
    <col min="11717" max="11718" width="6.4140625" style="2"/>
    <col min="11719" max="11719" width="6.4140625" style="1"/>
    <col min="11720" max="11720" width="6.4140625" style="2"/>
    <col min="11721" max="11721" width="6.4140625" style="3"/>
    <col min="11722" max="11722" width="6.4140625" style="2"/>
    <col min="11723" max="11723" width="6.4140625" style="3"/>
    <col min="11724" max="11725" width="6.4140625" style="2"/>
    <col min="11726" max="11726" width="6.4140625" style="1"/>
    <col min="11727" max="11727" width="6.4140625" style="2"/>
    <col min="11728" max="11728" width="6.4140625" style="3"/>
    <col min="11729" max="11729" width="6.4140625" style="2"/>
    <col min="11730" max="11730" width="6.4140625" style="3"/>
    <col min="11731" max="11732" width="6.4140625" style="2"/>
    <col min="11733" max="11733" width="6.4140625" style="1"/>
    <col min="11734" max="11734" width="6.4140625" style="2"/>
    <col min="11735" max="11735" width="6.4140625" style="3"/>
    <col min="11736" max="11736" width="6.4140625" style="2"/>
    <col min="11737" max="11737" width="6.4140625" style="3"/>
    <col min="11738" max="11739" width="6.4140625" style="2"/>
    <col min="11740" max="11740" width="6.4140625" style="1"/>
    <col min="11741" max="11741" width="6.4140625" style="2"/>
    <col min="11742" max="11742" width="6.4140625" style="3"/>
    <col min="11743" max="11743" width="6.4140625" style="2"/>
    <col min="11744" max="11744" width="6.4140625" style="3"/>
    <col min="11745" max="11746" width="6.4140625" style="2"/>
    <col min="11747" max="11747" width="6.4140625" style="1"/>
    <col min="11748" max="11748" width="6.4140625" style="2"/>
    <col min="11749" max="11749" width="6.4140625" style="3"/>
    <col min="11750" max="11750" width="6.4140625" style="2"/>
    <col min="11751" max="11751" width="6.4140625" style="3"/>
    <col min="11752" max="11753" width="6.4140625" style="2"/>
    <col min="11754" max="11754" width="6.4140625" style="1"/>
    <col min="11755" max="11755" width="6.4140625" style="2"/>
    <col min="11756" max="11756" width="6.4140625" style="3"/>
    <col min="11757" max="11757" width="6.4140625" style="2"/>
    <col min="11758" max="11758" width="6.4140625" style="3"/>
    <col min="11759" max="11760" width="6.4140625" style="2"/>
    <col min="11761" max="11761" width="6.4140625" style="1"/>
    <col min="11762" max="11762" width="6.4140625" style="2"/>
    <col min="11763" max="11763" width="6.4140625" style="3"/>
    <col min="11764" max="11764" width="6.4140625" style="2"/>
    <col min="11765" max="11765" width="6.4140625" style="3"/>
    <col min="11766" max="11767" width="6.4140625" style="2"/>
    <col min="11768" max="11768" width="6.4140625" style="1"/>
    <col min="11769" max="11769" width="6.4140625" style="2"/>
    <col min="11770" max="11770" width="6.4140625" style="3"/>
    <col min="11771" max="11771" width="6.4140625" style="2"/>
    <col min="11772" max="11772" width="6.4140625" style="3"/>
    <col min="11773" max="11774" width="6.4140625" style="2"/>
    <col min="11775" max="11775" width="6.4140625" style="1"/>
    <col min="11776" max="11776" width="6.4140625" style="2"/>
    <col min="11777" max="11777" width="6.4140625" style="3"/>
    <col min="11778" max="11778" width="6.4140625" style="2"/>
    <col min="11779" max="11779" width="6.4140625" style="3"/>
    <col min="11780" max="11781" width="6.4140625" style="2"/>
    <col min="11782" max="11782" width="6.4140625" style="1"/>
    <col min="11783" max="11783" width="6.4140625" style="2"/>
    <col min="11784" max="11784" width="6.4140625" style="3"/>
    <col min="11785" max="11785" width="6.4140625" style="2"/>
    <col min="11786" max="11786" width="6.4140625" style="3"/>
    <col min="11787" max="11788" width="6.4140625" style="2"/>
    <col min="11789" max="11789" width="6.4140625" style="1"/>
    <col min="11790" max="11790" width="6.4140625" style="2"/>
    <col min="11791" max="11791" width="6.4140625" style="3"/>
    <col min="11792" max="11792" width="6.4140625" style="2"/>
    <col min="11793" max="11793" width="6.4140625" style="3"/>
    <col min="11794" max="11795" width="6.4140625" style="2"/>
    <col min="11796" max="11796" width="6.4140625" style="1"/>
    <col min="11797" max="11797" width="6.4140625" style="2"/>
    <col min="11798" max="11798" width="6.4140625" style="3"/>
    <col min="11799" max="11799" width="6.4140625" style="2"/>
    <col min="11800" max="11800" width="6.4140625" style="3"/>
    <col min="11801" max="11802" width="6.4140625" style="2"/>
    <col min="11803" max="11803" width="6.4140625" style="1"/>
    <col min="11804" max="11804" width="6.4140625" style="2"/>
    <col min="11805" max="11805" width="6.4140625" style="3"/>
    <col min="11806" max="11806" width="6.4140625" style="2"/>
    <col min="11807" max="11807" width="6.4140625" style="3"/>
    <col min="11808" max="11809" width="6.4140625" style="2"/>
    <col min="11810" max="11810" width="6.4140625" style="1"/>
    <col min="11811" max="11811" width="6.4140625" style="2"/>
    <col min="11812" max="11812" width="6.4140625" style="3"/>
    <col min="11813" max="11813" width="6.4140625" style="2"/>
    <col min="11814" max="11814" width="6.4140625" style="3"/>
    <col min="11815" max="11816" width="6.4140625" style="2"/>
    <col min="11817" max="11817" width="6.4140625" style="1"/>
    <col min="11818" max="11818" width="6.4140625" style="2"/>
    <col min="11819" max="11819" width="6.4140625" style="3"/>
    <col min="11820" max="11820" width="6.4140625" style="2"/>
    <col min="11821" max="11821" width="6.4140625" style="3"/>
    <col min="11822" max="11823" width="6.4140625" style="2"/>
    <col min="11824" max="11824" width="6.4140625" style="1"/>
    <col min="11825" max="11825" width="6.4140625" style="2"/>
    <col min="11826" max="11826" width="6.4140625" style="3"/>
    <col min="11827" max="11827" width="6.4140625" style="2"/>
    <col min="11828" max="11828" width="6.4140625" style="3"/>
    <col min="11829" max="11830" width="6.4140625" style="2"/>
    <col min="11831" max="11831" width="6.4140625" style="1"/>
    <col min="11832" max="11832" width="6.4140625" style="2"/>
    <col min="11833" max="11833" width="6.4140625" style="3"/>
    <col min="11834" max="11834" width="6.4140625" style="2"/>
    <col min="11835" max="11835" width="6.4140625" style="3"/>
    <col min="11836" max="11837" width="6.4140625" style="2"/>
    <col min="11838" max="11838" width="6.4140625" style="1"/>
    <col min="11839" max="11839" width="6.4140625" style="2"/>
    <col min="11840" max="11840" width="6.4140625" style="3"/>
    <col min="11841" max="11841" width="6.4140625" style="2"/>
    <col min="11842" max="11842" width="6.4140625" style="3"/>
    <col min="11843" max="11844" width="6.4140625" style="2"/>
    <col min="11845" max="11845" width="6.4140625" style="1"/>
    <col min="11846" max="11846" width="6.4140625" style="2"/>
    <col min="11847" max="11847" width="6.4140625" style="3"/>
    <col min="11848" max="11848" width="6.4140625" style="2"/>
    <col min="11849" max="11849" width="6.4140625" style="3"/>
    <col min="11850" max="11851" width="6.4140625" style="2"/>
    <col min="11852" max="11852" width="6.4140625" style="1"/>
    <col min="11853" max="11853" width="6.4140625" style="2"/>
    <col min="11854" max="11854" width="6.4140625" style="3"/>
    <col min="11855" max="11855" width="6.4140625" style="2"/>
    <col min="11856" max="11856" width="6.4140625" style="3"/>
    <col min="11857" max="11858" width="6.4140625" style="2"/>
    <col min="11859" max="11859" width="6.4140625" style="1"/>
    <col min="11860" max="11860" width="6.4140625" style="2"/>
    <col min="11861" max="11861" width="6.4140625" style="3"/>
    <col min="11862" max="11862" width="6.4140625" style="2"/>
    <col min="11863" max="11863" width="6.4140625" style="3"/>
    <col min="11864" max="11865" width="6.4140625" style="2"/>
    <col min="11866" max="11866" width="6.4140625" style="1"/>
    <col min="11867" max="11867" width="6.4140625" style="2"/>
    <col min="11868" max="11868" width="6.4140625" style="3"/>
    <col min="11869" max="11869" width="6.4140625" style="2"/>
    <col min="11870" max="11870" width="6.4140625" style="3"/>
    <col min="11871" max="11872" width="6.4140625" style="2"/>
    <col min="11873" max="11873" width="6.4140625" style="1"/>
    <col min="11874" max="11874" width="6.4140625" style="2"/>
    <col min="11875" max="11875" width="6.4140625" style="3"/>
    <col min="11876" max="11876" width="6.4140625" style="2"/>
    <col min="11877" max="11877" width="6.4140625" style="3"/>
    <col min="11878" max="11879" width="6.4140625" style="2"/>
    <col min="11880" max="11880" width="6.4140625" style="1"/>
    <col min="11881" max="11881" width="6.4140625" style="2"/>
    <col min="11882" max="11882" width="6.4140625" style="3"/>
    <col min="11883" max="11883" width="6.4140625" style="2"/>
    <col min="11884" max="11884" width="6.4140625" style="3"/>
    <col min="11885" max="11886" width="6.4140625" style="2"/>
    <col min="11887" max="11887" width="6.4140625" style="1"/>
    <col min="11888" max="11888" width="6.4140625" style="2"/>
    <col min="11889" max="11889" width="6.4140625" style="3"/>
    <col min="11890" max="11890" width="6.4140625" style="2"/>
    <col min="11891" max="11891" width="6.4140625" style="3"/>
    <col min="11892" max="11893" width="6.4140625" style="2"/>
    <col min="11894" max="11894" width="6.4140625" style="1"/>
    <col min="11895" max="11895" width="6.4140625" style="2"/>
    <col min="11896" max="11896" width="6.4140625" style="3"/>
    <col min="11897" max="11897" width="6.4140625" style="2"/>
    <col min="11898" max="11898" width="6.4140625" style="3"/>
    <col min="11899" max="11900" width="6.4140625" style="2"/>
    <col min="11901" max="11901" width="6.4140625" style="1"/>
    <col min="11902" max="11902" width="6.4140625" style="2"/>
    <col min="11903" max="11903" width="6.4140625" style="3"/>
    <col min="11904" max="11904" width="6.4140625" style="2"/>
    <col min="11905" max="11905" width="6.4140625" style="3"/>
    <col min="11906" max="11907" width="6.4140625" style="2"/>
    <col min="11908" max="11908" width="6.4140625" style="1"/>
    <col min="11909" max="11909" width="6.4140625" style="2"/>
    <col min="11910" max="11910" width="6.4140625" style="3"/>
    <col min="11911" max="11911" width="6.4140625" style="2"/>
    <col min="11912" max="11912" width="6.4140625" style="3"/>
    <col min="11913" max="11914" width="6.4140625" style="2"/>
    <col min="11915" max="11915" width="6.4140625" style="1"/>
    <col min="11916" max="11916" width="6.4140625" style="2"/>
    <col min="11917" max="11917" width="6.4140625" style="3"/>
    <col min="11918" max="11918" width="6.4140625" style="2"/>
    <col min="11919" max="11919" width="6.4140625" style="3"/>
    <col min="11920" max="11921" width="6.4140625" style="2"/>
    <col min="11922" max="11922" width="6.4140625" style="1"/>
    <col min="11923" max="11923" width="6.4140625" style="2"/>
    <col min="11924" max="11924" width="6.4140625" style="3"/>
    <col min="11925" max="11925" width="6.4140625" style="2"/>
    <col min="11926" max="11926" width="6.4140625" style="3"/>
    <col min="11927" max="11928" width="6.4140625" style="2"/>
    <col min="11929" max="11929" width="6.4140625" style="1"/>
    <col min="11930" max="11930" width="6.4140625" style="2"/>
    <col min="11931" max="11931" width="6.4140625" style="3"/>
    <col min="11932" max="11932" width="6.4140625" style="2"/>
    <col min="11933" max="11933" width="6.4140625" style="3"/>
    <col min="11934" max="11935" width="6.4140625" style="2"/>
    <col min="11936" max="11936" width="6.4140625" style="1"/>
    <col min="11937" max="11937" width="6.4140625" style="2"/>
    <col min="11938" max="11938" width="6.4140625" style="3"/>
    <col min="11939" max="11939" width="6.4140625" style="2"/>
    <col min="11940" max="11940" width="6.4140625" style="3"/>
    <col min="11941" max="11942" width="6.4140625" style="2"/>
    <col min="11943" max="11943" width="6.4140625" style="1"/>
    <col min="11944" max="11944" width="6.4140625" style="2"/>
    <col min="11945" max="11945" width="6.4140625" style="3"/>
    <col min="11946" max="11946" width="6.4140625" style="2"/>
    <col min="11947" max="11947" width="6.4140625" style="3"/>
    <col min="11948" max="11949" width="6.4140625" style="2"/>
    <col min="11950" max="11950" width="6.4140625" style="1"/>
    <col min="11951" max="11951" width="6.4140625" style="2"/>
    <col min="11952" max="11952" width="6.4140625" style="3"/>
    <col min="11953" max="11953" width="6.4140625" style="2"/>
    <col min="11954" max="11954" width="6.4140625" style="3"/>
    <col min="11955" max="11956" width="6.4140625" style="2"/>
    <col min="11957" max="11957" width="6.4140625" style="1"/>
    <col min="11958" max="11958" width="6.4140625" style="2"/>
    <col min="11959" max="11959" width="6.4140625" style="3"/>
    <col min="11960" max="11960" width="6.4140625" style="2"/>
    <col min="11961" max="11961" width="6.4140625" style="3"/>
    <col min="11962" max="11963" width="6.4140625" style="2"/>
    <col min="11964" max="11964" width="6.4140625" style="1"/>
    <col min="11965" max="11965" width="6.4140625" style="2"/>
    <col min="11966" max="11966" width="6.4140625" style="3"/>
    <col min="11967" max="11967" width="6.4140625" style="2"/>
    <col min="11968" max="11968" width="6.4140625" style="3"/>
    <col min="11969" max="11970" width="6.4140625" style="2"/>
    <col min="11971" max="11971" width="6.4140625" style="1"/>
    <col min="11972" max="11972" width="6.4140625" style="2"/>
    <col min="11973" max="11973" width="6.4140625" style="3"/>
    <col min="11974" max="11974" width="6.4140625" style="2"/>
    <col min="11975" max="11975" width="6.4140625" style="3"/>
    <col min="11976" max="11977" width="6.4140625" style="2"/>
    <col min="11978" max="11978" width="6.4140625" style="1"/>
    <col min="11979" max="11979" width="6.4140625" style="2"/>
    <col min="11980" max="11980" width="6.4140625" style="3"/>
    <col min="11981" max="11981" width="6.4140625" style="2"/>
    <col min="11982" max="11982" width="6.4140625" style="3"/>
    <col min="11983" max="11984" width="6.4140625" style="2"/>
    <col min="11985" max="11985" width="6.4140625" style="1"/>
    <col min="11986" max="11986" width="6.4140625" style="2"/>
    <col min="11987" max="11987" width="6.4140625" style="3"/>
    <col min="11988" max="11988" width="6.4140625" style="2"/>
    <col min="11989" max="11989" width="6.4140625" style="3"/>
    <col min="11990" max="11991" width="6.4140625" style="2"/>
    <col min="11992" max="11992" width="6.4140625" style="1"/>
    <col min="11993" max="11993" width="6.4140625" style="2"/>
    <col min="11994" max="11994" width="6.4140625" style="3"/>
    <col min="11995" max="11995" width="6.4140625" style="2"/>
    <col min="11996" max="11996" width="6.4140625" style="3"/>
    <col min="11997" max="11998" width="6.4140625" style="2"/>
    <col min="11999" max="11999" width="6.4140625" style="1"/>
    <col min="12000" max="12000" width="6.4140625" style="2"/>
    <col min="12001" max="12001" width="6.4140625" style="3"/>
    <col min="12002" max="12002" width="6.4140625" style="2"/>
    <col min="12003" max="12003" width="6.4140625" style="3"/>
    <col min="12004" max="12005" width="6.4140625" style="2"/>
    <col min="12006" max="12006" width="6.4140625" style="1"/>
    <col min="12007" max="12007" width="6.4140625" style="2"/>
    <col min="12008" max="12008" width="6.4140625" style="3"/>
    <col min="12009" max="12009" width="6.4140625" style="2"/>
    <col min="12010" max="12010" width="6.4140625" style="3"/>
    <col min="12011" max="12012" width="6.4140625" style="2"/>
    <col min="12013" max="12013" width="6.4140625" style="1"/>
    <col min="12014" max="12014" width="6.4140625" style="2"/>
    <col min="12015" max="12015" width="6.4140625" style="3"/>
    <col min="12016" max="12016" width="6.4140625" style="2"/>
    <col min="12017" max="12017" width="6.4140625" style="3"/>
    <col min="12018" max="12019" width="6.4140625" style="2"/>
    <col min="12020" max="12020" width="6.4140625" style="1"/>
    <col min="12021" max="12021" width="6.4140625" style="2"/>
    <col min="12022" max="12022" width="6.4140625" style="3"/>
    <col min="12023" max="12023" width="6.4140625" style="2"/>
    <col min="12024" max="12024" width="6.4140625" style="3"/>
    <col min="12025" max="12026" width="6.4140625" style="2"/>
    <col min="12027" max="12027" width="6.4140625" style="1"/>
    <col min="12028" max="12028" width="6.4140625" style="2"/>
    <col min="12029" max="12029" width="6.4140625" style="3"/>
    <col min="12030" max="12030" width="6.4140625" style="2"/>
    <col min="12031" max="12031" width="6.4140625" style="3"/>
    <col min="12032" max="12033" width="6.4140625" style="2"/>
    <col min="12034" max="12034" width="6.4140625" style="1"/>
    <col min="12035" max="12035" width="6.4140625" style="2"/>
    <col min="12036" max="12036" width="6.4140625" style="3"/>
    <col min="12037" max="12037" width="6.4140625" style="2"/>
    <col min="12038" max="12038" width="6.4140625" style="3"/>
    <col min="12039" max="12040" width="6.4140625" style="2"/>
    <col min="12041" max="12041" width="6.4140625" style="1"/>
    <col min="12042" max="12042" width="6.4140625" style="2"/>
    <col min="12043" max="12043" width="6.4140625" style="3"/>
    <col min="12044" max="12044" width="6.4140625" style="2"/>
    <col min="12045" max="12045" width="6.4140625" style="3"/>
    <col min="12046" max="12047" width="6.4140625" style="2"/>
    <col min="12048" max="12048" width="6.4140625" style="1"/>
    <col min="12049" max="12049" width="6.4140625" style="2"/>
    <col min="12050" max="12050" width="6.4140625" style="3"/>
    <col min="12051" max="12051" width="6.4140625" style="2"/>
    <col min="12052" max="12052" width="6.4140625" style="3"/>
    <col min="12053" max="12054" width="6.4140625" style="2"/>
    <col min="12055" max="12055" width="6.4140625" style="1"/>
    <col min="12056" max="12056" width="6.4140625" style="2"/>
    <col min="12057" max="12057" width="6.4140625" style="3"/>
    <col min="12058" max="12058" width="6.4140625" style="2"/>
    <col min="12059" max="12059" width="6.4140625" style="3"/>
    <col min="12060" max="12061" width="6.4140625" style="2"/>
    <col min="12062" max="12062" width="6.4140625" style="1"/>
    <col min="12063" max="12063" width="6.4140625" style="2"/>
    <col min="12064" max="12064" width="6.4140625" style="3"/>
    <col min="12065" max="12065" width="6.4140625" style="2"/>
    <col min="12066" max="12066" width="6.4140625" style="3"/>
    <col min="12067" max="12068" width="6.4140625" style="2"/>
    <col min="12069" max="12069" width="6.4140625" style="1"/>
    <col min="12070" max="12070" width="6.4140625" style="2"/>
    <col min="12071" max="12071" width="6.4140625" style="3"/>
    <col min="12072" max="12072" width="6.4140625" style="2"/>
    <col min="12073" max="12073" width="6.4140625" style="3"/>
    <col min="12074" max="12075" width="6.4140625" style="2"/>
    <col min="12076" max="12076" width="6.4140625" style="1"/>
    <col min="12077" max="12077" width="6.4140625" style="2"/>
    <col min="12078" max="12078" width="6.4140625" style="3"/>
    <col min="12079" max="12079" width="6.4140625" style="2"/>
    <col min="12080" max="12080" width="6.4140625" style="3"/>
    <col min="12081" max="12082" width="6.4140625" style="2"/>
    <col min="12083" max="12083" width="6.4140625" style="1"/>
    <col min="12084" max="12084" width="6.4140625" style="2"/>
    <col min="12085" max="12085" width="6.4140625" style="3"/>
    <col min="12086" max="12086" width="6.4140625" style="2"/>
    <col min="12087" max="12087" width="6.4140625" style="3"/>
    <col min="12088" max="12089" width="6.4140625" style="2"/>
    <col min="12090" max="12090" width="6.4140625" style="1"/>
    <col min="12091" max="12091" width="6.4140625" style="2"/>
    <col min="12092" max="12092" width="6.4140625" style="3"/>
    <col min="12093" max="12093" width="6.4140625" style="2"/>
    <col min="12094" max="12094" width="6.4140625" style="3"/>
    <col min="12095" max="12096" width="6.4140625" style="2"/>
    <col min="12097" max="12097" width="6.4140625" style="1"/>
    <col min="12098" max="12098" width="6.4140625" style="2"/>
    <col min="12099" max="12099" width="6.4140625" style="3"/>
    <col min="12100" max="12100" width="6.4140625" style="2"/>
    <col min="12101" max="12101" width="6.4140625" style="3"/>
    <col min="12102" max="12103" width="6.4140625" style="2"/>
    <col min="12104" max="12104" width="6.4140625" style="1"/>
    <col min="12105" max="12105" width="6.4140625" style="2"/>
    <col min="12106" max="12106" width="6.4140625" style="3"/>
    <col min="12107" max="12107" width="6.4140625" style="2"/>
    <col min="12108" max="12108" width="6.4140625" style="3"/>
    <col min="12109" max="12110" width="6.4140625" style="2"/>
    <col min="12111" max="12111" width="6.4140625" style="1"/>
    <col min="12112" max="12112" width="6.4140625" style="2"/>
    <col min="12113" max="12113" width="6.4140625" style="3"/>
    <col min="12114" max="12114" width="6.4140625" style="2"/>
    <col min="12115" max="12115" width="6.4140625" style="3"/>
    <col min="12116" max="12117" width="6.4140625" style="2"/>
    <col min="12118" max="12118" width="6.4140625" style="1"/>
    <col min="12119" max="12119" width="6.4140625" style="2"/>
    <col min="12120" max="12120" width="6.4140625" style="3"/>
    <col min="12121" max="12121" width="6.4140625" style="2"/>
    <col min="12122" max="12122" width="6.4140625" style="3"/>
    <col min="12123" max="12124" width="6.4140625" style="2"/>
    <col min="12125" max="12125" width="6.4140625" style="1"/>
    <col min="12126" max="12126" width="6.4140625" style="2"/>
    <col min="12127" max="12127" width="6.4140625" style="3"/>
    <col min="12128" max="12128" width="6.4140625" style="2"/>
    <col min="12129" max="12129" width="6.4140625" style="3"/>
    <col min="12130" max="12131" width="6.4140625" style="2"/>
    <col min="12132" max="12132" width="6.4140625" style="1"/>
    <col min="12133" max="12133" width="6.4140625" style="2"/>
    <col min="12134" max="12134" width="6.4140625" style="3"/>
    <col min="12135" max="12135" width="6.4140625" style="2"/>
    <col min="12136" max="12136" width="6.4140625" style="3"/>
    <col min="12137" max="12138" width="6.4140625" style="2"/>
    <col min="12139" max="12139" width="6.4140625" style="1"/>
    <col min="12140" max="12140" width="6.4140625" style="2"/>
    <col min="12141" max="12141" width="6.4140625" style="3"/>
    <col min="12142" max="12142" width="6.4140625" style="2"/>
    <col min="12143" max="12143" width="6.4140625" style="3"/>
    <col min="12144" max="12145" width="6.4140625" style="2"/>
    <col min="12146" max="12146" width="6.4140625" style="1"/>
    <col min="12147" max="12147" width="6.4140625" style="2"/>
    <col min="12148" max="12148" width="6.4140625" style="3"/>
    <col min="12149" max="12149" width="6.4140625" style="2"/>
    <col min="12150" max="12150" width="6.4140625" style="3"/>
    <col min="12151" max="12152" width="6.4140625" style="2"/>
    <col min="12153" max="12153" width="6.4140625" style="1"/>
    <col min="12154" max="12154" width="6.4140625" style="2"/>
    <col min="12155" max="12155" width="6.4140625" style="3"/>
    <col min="12156" max="12156" width="6.4140625" style="2"/>
    <col min="12157" max="12157" width="6.4140625" style="3"/>
    <col min="12158" max="12159" width="6.4140625" style="2"/>
    <col min="12160" max="12160" width="6.4140625" style="1"/>
    <col min="12161" max="12161" width="6.4140625" style="2"/>
    <col min="12162" max="12162" width="6.4140625" style="3"/>
    <col min="12163" max="12163" width="6.4140625" style="2"/>
    <col min="12164" max="12164" width="6.4140625" style="3"/>
    <col min="12165" max="12166" width="6.4140625" style="2"/>
    <col min="12167" max="12167" width="6.4140625" style="1"/>
    <col min="12168" max="12168" width="6.4140625" style="2"/>
    <col min="12169" max="12169" width="6.4140625" style="3"/>
    <col min="12170" max="12170" width="6.4140625" style="2"/>
    <col min="12171" max="12171" width="6.4140625" style="3"/>
    <col min="12172" max="12173" width="6.4140625" style="2"/>
    <col min="12174" max="12174" width="6.4140625" style="1"/>
    <col min="12175" max="12175" width="6.4140625" style="2"/>
    <col min="12176" max="12176" width="6.4140625" style="3"/>
    <col min="12177" max="12177" width="6.4140625" style="2"/>
    <col min="12178" max="12178" width="6.4140625" style="3"/>
    <col min="12179" max="12180" width="6.4140625" style="2"/>
    <col min="12181" max="12181" width="6.4140625" style="1"/>
    <col min="12182" max="12182" width="6.4140625" style="2"/>
    <col min="12183" max="12183" width="6.4140625" style="3"/>
    <col min="12184" max="12184" width="6.4140625" style="2"/>
    <col min="12185" max="12185" width="6.4140625" style="3"/>
    <col min="12186" max="12187" width="6.4140625" style="2"/>
    <col min="12188" max="12188" width="6.4140625" style="1"/>
    <col min="12189" max="12189" width="6.4140625" style="2"/>
    <col min="12190" max="12190" width="6.4140625" style="3"/>
    <col min="12191" max="12191" width="6.4140625" style="2"/>
    <col min="12192" max="12192" width="6.4140625" style="3"/>
    <col min="12193" max="12194" width="6.4140625" style="2"/>
    <col min="12195" max="12195" width="6.4140625" style="1"/>
    <col min="12196" max="12196" width="6.4140625" style="2"/>
    <col min="12197" max="12197" width="6.4140625" style="3"/>
    <col min="12198" max="12198" width="6.4140625" style="2"/>
    <col min="12199" max="12199" width="6.4140625" style="3"/>
    <col min="12200" max="12201" width="6.4140625" style="2"/>
    <col min="12202" max="12202" width="6.4140625" style="1"/>
    <col min="12203" max="12203" width="6.4140625" style="2"/>
    <col min="12204" max="12204" width="6.4140625" style="3"/>
    <col min="12205" max="12205" width="6.4140625" style="2"/>
    <col min="12206" max="12206" width="6.4140625" style="3"/>
    <col min="12207" max="12208" width="6.4140625" style="2"/>
    <col min="12209" max="12209" width="6.4140625" style="1"/>
    <col min="12210" max="12210" width="6.4140625" style="2"/>
    <col min="12211" max="12211" width="6.4140625" style="3"/>
    <col min="12212" max="12212" width="6.4140625" style="2"/>
    <col min="12213" max="12213" width="6.4140625" style="3"/>
    <col min="12214" max="12215" width="6.4140625" style="2"/>
    <col min="12216" max="12216" width="6.4140625" style="1"/>
    <col min="12217" max="12217" width="6.4140625" style="2"/>
    <col min="12218" max="12218" width="6.4140625" style="3"/>
    <col min="12219" max="12219" width="6.4140625" style="2"/>
    <col min="12220" max="12220" width="6.4140625" style="3"/>
    <col min="12221" max="12222" width="6.4140625" style="2"/>
    <col min="12223" max="12223" width="6.4140625" style="1"/>
    <col min="12224" max="12224" width="6.4140625" style="2"/>
    <col min="12225" max="12225" width="6.4140625" style="3"/>
    <col min="12226" max="12226" width="6.4140625" style="2"/>
    <col min="12227" max="12227" width="6.4140625" style="3"/>
    <col min="12228" max="12229" width="6.4140625" style="2"/>
    <col min="12230" max="12230" width="6.4140625" style="1"/>
    <col min="12231" max="12231" width="6.4140625" style="2"/>
    <col min="12232" max="12232" width="6.4140625" style="3"/>
    <col min="12233" max="12233" width="6.4140625" style="2"/>
    <col min="12234" max="12234" width="6.4140625" style="3"/>
    <col min="12235" max="12236" width="6.4140625" style="2"/>
    <col min="12237" max="12237" width="6.4140625" style="1"/>
    <col min="12238" max="12238" width="6.4140625" style="2"/>
    <col min="12239" max="12239" width="6.4140625" style="3"/>
    <col min="12240" max="12240" width="6.4140625" style="2"/>
    <col min="12241" max="12241" width="6.4140625" style="3"/>
    <col min="12242" max="12243" width="6.4140625" style="2"/>
    <col min="12244" max="12244" width="6.4140625" style="1"/>
    <col min="12245" max="12245" width="6.4140625" style="2"/>
    <col min="12246" max="12246" width="6.4140625" style="3"/>
    <col min="12247" max="12247" width="6.4140625" style="2"/>
    <col min="12248" max="12248" width="6.4140625" style="3"/>
    <col min="12249" max="12250" width="6.4140625" style="2"/>
    <col min="12251" max="12251" width="6.4140625" style="1"/>
    <col min="12252" max="12252" width="6.4140625" style="2"/>
    <col min="12253" max="12253" width="6.4140625" style="3"/>
    <col min="12254" max="12254" width="6.4140625" style="2"/>
    <col min="12255" max="12255" width="6.4140625" style="3"/>
    <col min="12256" max="12257" width="6.4140625" style="2"/>
    <col min="12258" max="12258" width="6.4140625" style="1"/>
    <col min="12259" max="12259" width="6.4140625" style="2"/>
    <col min="12260" max="12260" width="6.4140625" style="3"/>
    <col min="12261" max="12261" width="6.4140625" style="2"/>
    <col min="12262" max="12262" width="6.4140625" style="3"/>
    <col min="12263" max="12264" width="6.4140625" style="2"/>
    <col min="12265" max="12265" width="6.4140625" style="1"/>
    <col min="12266" max="12266" width="6.4140625" style="2"/>
    <col min="12267" max="12267" width="6.4140625" style="3"/>
    <col min="12268" max="12268" width="6.4140625" style="2"/>
    <col min="12269" max="12269" width="6.4140625" style="3"/>
    <col min="12270" max="12271" width="6.4140625" style="2"/>
    <col min="12272" max="12272" width="6.4140625" style="1"/>
    <col min="12273" max="12273" width="6.4140625" style="2"/>
    <col min="12274" max="12274" width="6.4140625" style="3"/>
    <col min="12275" max="12275" width="6.4140625" style="2"/>
    <col min="12276" max="12276" width="6.4140625" style="3"/>
    <col min="12277" max="12278" width="6.4140625" style="2"/>
    <col min="12279" max="12279" width="6.4140625" style="1"/>
    <col min="12280" max="12280" width="6.4140625" style="2"/>
    <col min="12281" max="12281" width="6.4140625" style="3"/>
    <col min="12282" max="12282" width="6.4140625" style="2"/>
    <col min="12283" max="12283" width="6.4140625" style="3"/>
    <col min="12284" max="12285" width="6.4140625" style="2"/>
    <col min="12286" max="12286" width="6.4140625" style="1"/>
    <col min="12287" max="12287" width="6.4140625" style="2"/>
    <col min="12288" max="12288" width="6.4140625" style="3"/>
    <col min="12289" max="12289" width="6.4140625" style="2"/>
    <col min="12290" max="12290" width="6.4140625" style="3"/>
    <col min="12291" max="12292" width="6.4140625" style="2"/>
    <col min="12293" max="12293" width="6.4140625" style="1"/>
    <col min="12294" max="12294" width="6.4140625" style="2"/>
    <col min="12295" max="12295" width="6.4140625" style="3"/>
    <col min="12296" max="12296" width="6.4140625" style="2"/>
    <col min="12297" max="12297" width="6.4140625" style="3"/>
    <col min="12298" max="12299" width="6.4140625" style="2"/>
    <col min="12300" max="12300" width="6.4140625" style="1"/>
    <col min="12301" max="12301" width="6.4140625" style="2"/>
    <col min="12302" max="12302" width="6.4140625" style="3"/>
    <col min="12303" max="12303" width="6.4140625" style="2"/>
    <col min="12304" max="12304" width="6.4140625" style="3"/>
    <col min="12305" max="12306" width="6.4140625" style="2"/>
    <col min="12307" max="12307" width="6.4140625" style="1"/>
    <col min="12308" max="12308" width="6.4140625" style="2"/>
    <col min="12309" max="12309" width="6.4140625" style="3"/>
    <col min="12310" max="12310" width="6.4140625" style="2"/>
    <col min="12311" max="12311" width="6.4140625" style="3"/>
    <col min="12312" max="12313" width="6.4140625" style="2"/>
    <col min="12314" max="12314" width="6.4140625" style="1"/>
    <col min="12315" max="12315" width="6.4140625" style="2"/>
    <col min="12316" max="12316" width="6.4140625" style="3"/>
    <col min="12317" max="12317" width="6.4140625" style="2"/>
    <col min="12318" max="12318" width="6.4140625" style="3"/>
    <col min="12319" max="12320" width="6.4140625" style="2"/>
    <col min="12321" max="12321" width="6.4140625" style="1"/>
    <col min="12322" max="12322" width="6.4140625" style="2"/>
    <col min="12323" max="12323" width="6.4140625" style="3"/>
    <col min="12324" max="12324" width="6.4140625" style="2"/>
    <col min="12325" max="12325" width="6.4140625" style="3"/>
    <col min="12326" max="12327" width="6.4140625" style="2"/>
    <col min="12328" max="12328" width="6.4140625" style="1"/>
    <col min="12329" max="12329" width="6.4140625" style="2"/>
    <col min="12330" max="12330" width="6.4140625" style="3"/>
    <col min="12331" max="12331" width="6.4140625" style="2"/>
    <col min="12332" max="12332" width="6.4140625" style="3"/>
    <col min="12333" max="12334" width="6.4140625" style="2"/>
    <col min="12335" max="12335" width="6.4140625" style="1"/>
    <col min="12336" max="12336" width="6.4140625" style="2"/>
    <col min="12337" max="12337" width="6.4140625" style="3"/>
    <col min="12338" max="12338" width="6.4140625" style="2"/>
    <col min="12339" max="12339" width="6.4140625" style="3"/>
    <col min="12340" max="12341" width="6.4140625" style="2"/>
    <col min="12342" max="12342" width="6.4140625" style="1"/>
    <col min="12343" max="12343" width="6.4140625" style="2"/>
    <col min="12344" max="12344" width="6.4140625" style="3"/>
    <col min="12345" max="12345" width="6.4140625" style="2"/>
    <col min="12346" max="12346" width="6.4140625" style="3"/>
    <col min="12347" max="12348" width="6.4140625" style="2"/>
    <col min="12349" max="12349" width="6.4140625" style="1"/>
    <col min="12350" max="12350" width="6.4140625" style="2"/>
    <col min="12351" max="12351" width="6.4140625" style="3"/>
    <col min="12352" max="12352" width="6.4140625" style="2"/>
    <col min="12353" max="12353" width="6.4140625" style="3"/>
    <col min="12354" max="12355" width="6.4140625" style="2"/>
    <col min="12356" max="12356" width="6.4140625" style="1"/>
    <col min="12357" max="12357" width="6.4140625" style="2"/>
    <col min="12358" max="12358" width="6.4140625" style="3"/>
    <col min="12359" max="12359" width="6.4140625" style="2"/>
    <col min="12360" max="12360" width="6.4140625" style="3"/>
    <col min="12361" max="12362" width="6.4140625" style="2"/>
    <col min="12363" max="12363" width="6.4140625" style="1"/>
    <col min="12364" max="12364" width="6.4140625" style="2"/>
    <col min="12365" max="12365" width="6.4140625" style="3"/>
    <col min="12366" max="12366" width="6.4140625" style="2"/>
    <col min="12367" max="12367" width="6.4140625" style="3"/>
    <col min="12368" max="12369" width="6.4140625" style="2"/>
    <col min="12370" max="12370" width="6.4140625" style="1"/>
    <col min="12371" max="12371" width="6.4140625" style="2"/>
    <col min="12372" max="12372" width="6.4140625" style="3"/>
    <col min="12373" max="12373" width="6.4140625" style="2"/>
    <col min="12374" max="12374" width="6.4140625" style="3"/>
    <col min="12375" max="12376" width="6.4140625" style="2"/>
    <col min="12377" max="12377" width="6.4140625" style="1"/>
    <col min="12378" max="12378" width="6.4140625" style="2"/>
    <col min="12379" max="12379" width="6.4140625" style="3"/>
    <col min="12380" max="12380" width="6.4140625" style="2"/>
    <col min="12381" max="12381" width="6.4140625" style="3"/>
    <col min="12382" max="12383" width="6.4140625" style="2"/>
    <col min="12384" max="12384" width="6.4140625" style="1"/>
    <col min="12385" max="12385" width="6.4140625" style="2"/>
    <col min="12386" max="12386" width="6.4140625" style="3"/>
    <col min="12387" max="12387" width="6.4140625" style="2"/>
    <col min="12388" max="12388" width="6.4140625" style="3"/>
    <col min="12389" max="12390" width="6.4140625" style="2"/>
    <col min="12391" max="12391" width="6.4140625" style="1"/>
    <col min="12392" max="12392" width="6.4140625" style="2"/>
    <col min="12393" max="12393" width="6.4140625" style="3"/>
    <col min="12394" max="12394" width="6.4140625" style="2"/>
    <col min="12395" max="12395" width="6.4140625" style="3"/>
    <col min="12396" max="12397" width="6.4140625" style="2"/>
    <col min="12398" max="12398" width="6.4140625" style="1"/>
    <col min="12399" max="12399" width="6.4140625" style="2"/>
    <col min="12400" max="12400" width="6.4140625" style="3"/>
    <col min="12401" max="12401" width="6.4140625" style="2"/>
    <col min="12402" max="12402" width="6.4140625" style="3"/>
    <col min="12403" max="12404" width="6.4140625" style="2"/>
    <col min="12405" max="12405" width="6.4140625" style="1"/>
    <col min="12406" max="12406" width="6.4140625" style="2"/>
    <col min="12407" max="12407" width="6.4140625" style="3"/>
    <col min="12408" max="12408" width="6.4140625" style="2"/>
    <col min="12409" max="12409" width="6.4140625" style="3"/>
    <col min="12410" max="12411" width="6.4140625" style="2"/>
    <col min="12412" max="12412" width="6.4140625" style="1"/>
    <col min="12413" max="12413" width="6.4140625" style="2"/>
    <col min="12414" max="12414" width="6.4140625" style="3"/>
    <col min="12415" max="12415" width="6.4140625" style="2"/>
    <col min="12416" max="12416" width="6.4140625" style="3"/>
    <col min="12417" max="12418" width="6.4140625" style="2"/>
    <col min="12419" max="12419" width="6.4140625" style="1"/>
    <col min="12420" max="12420" width="6.4140625" style="2"/>
    <col min="12421" max="12421" width="6.4140625" style="3"/>
    <col min="12422" max="12422" width="6.4140625" style="2"/>
    <col min="12423" max="12423" width="6.4140625" style="3"/>
    <col min="12424" max="12425" width="6.4140625" style="2"/>
    <col min="12426" max="12426" width="6.4140625" style="1"/>
    <col min="12427" max="12427" width="6.4140625" style="2"/>
    <col min="12428" max="12428" width="6.4140625" style="3"/>
    <col min="12429" max="12429" width="6.4140625" style="2"/>
    <col min="12430" max="12430" width="6.4140625" style="3"/>
    <col min="12431" max="12432" width="6.4140625" style="2"/>
    <col min="12433" max="12433" width="6.4140625" style="1"/>
    <col min="12434" max="12434" width="6.4140625" style="2"/>
    <col min="12435" max="12435" width="6.4140625" style="3"/>
    <col min="12436" max="12436" width="6.4140625" style="2"/>
    <col min="12437" max="12437" width="6.4140625" style="3"/>
    <col min="12438" max="12439" width="6.4140625" style="2"/>
    <col min="12440" max="12440" width="6.4140625" style="1"/>
    <col min="12441" max="12441" width="6.4140625" style="2"/>
    <col min="12442" max="12442" width="6.4140625" style="3"/>
    <col min="12443" max="12443" width="6.4140625" style="2"/>
    <col min="12444" max="12444" width="6.4140625" style="3"/>
    <col min="12445" max="12446" width="6.4140625" style="2"/>
    <col min="12447" max="12447" width="6.4140625" style="1"/>
    <col min="12448" max="12448" width="6.4140625" style="2"/>
    <col min="12449" max="12449" width="6.4140625" style="3"/>
    <col min="12450" max="12450" width="6.4140625" style="2"/>
    <col min="12451" max="12451" width="6.4140625" style="3"/>
    <col min="12452" max="12453" width="6.4140625" style="2"/>
    <col min="12454" max="12454" width="6.4140625" style="1"/>
    <col min="12455" max="12455" width="6.4140625" style="2"/>
    <col min="12456" max="12456" width="6.4140625" style="3"/>
    <col min="12457" max="12457" width="6.4140625" style="2"/>
    <col min="12458" max="12458" width="6.4140625" style="3"/>
    <col min="12459" max="12460" width="6.4140625" style="2"/>
    <col min="12461" max="12461" width="6.4140625" style="1"/>
    <col min="12462" max="12462" width="6.4140625" style="2"/>
    <col min="12463" max="12463" width="6.4140625" style="3"/>
    <col min="12464" max="12464" width="6.4140625" style="2"/>
    <col min="12465" max="12465" width="6.4140625" style="3"/>
    <col min="12466" max="12467" width="6.4140625" style="2"/>
    <col min="12468" max="12468" width="6.4140625" style="1"/>
    <col min="12469" max="12469" width="6.4140625" style="2"/>
    <col min="12470" max="12470" width="6.4140625" style="3"/>
    <col min="12471" max="12471" width="6.4140625" style="2"/>
    <col min="12472" max="12472" width="6.4140625" style="3"/>
    <col min="12473" max="12474" width="6.4140625" style="2"/>
    <col min="12475" max="12475" width="6.4140625" style="1"/>
    <col min="12476" max="12476" width="6.4140625" style="2"/>
    <col min="12477" max="12477" width="6.4140625" style="3"/>
    <col min="12478" max="12478" width="6.4140625" style="2"/>
    <col min="12479" max="12479" width="6.4140625" style="3"/>
    <col min="12480" max="12481" width="6.4140625" style="2"/>
    <col min="12482" max="12482" width="6.4140625" style="1"/>
    <col min="12483" max="12483" width="6.4140625" style="2"/>
    <col min="12484" max="12484" width="6.4140625" style="3"/>
    <col min="12485" max="12485" width="6.4140625" style="2"/>
    <col min="12486" max="12486" width="6.4140625" style="3"/>
    <col min="12487" max="12488" width="6.4140625" style="2"/>
    <col min="12489" max="12489" width="6.4140625" style="1"/>
    <col min="12490" max="12490" width="6.4140625" style="2"/>
    <col min="12491" max="12491" width="6.4140625" style="3"/>
    <col min="12492" max="12492" width="6.4140625" style="2"/>
    <col min="12493" max="12493" width="6.4140625" style="3"/>
    <col min="12494" max="12495" width="6.4140625" style="2"/>
    <col min="12496" max="12496" width="6.4140625" style="1"/>
    <col min="12497" max="12497" width="6.4140625" style="2"/>
    <col min="12498" max="12498" width="6.4140625" style="3"/>
    <col min="12499" max="12499" width="6.4140625" style="2"/>
    <col min="12500" max="12500" width="6.4140625" style="3"/>
    <col min="12501" max="12502" width="6.4140625" style="2"/>
    <col min="12503" max="12503" width="6.4140625" style="1"/>
    <col min="12504" max="12504" width="6.4140625" style="2"/>
    <col min="12505" max="12505" width="6.4140625" style="3"/>
    <col min="12506" max="12506" width="6.4140625" style="2"/>
    <col min="12507" max="12507" width="6.4140625" style="3"/>
    <col min="12508" max="12509" width="6.4140625" style="2"/>
    <col min="12510" max="12510" width="6.4140625" style="1"/>
    <col min="12511" max="12511" width="6.4140625" style="2"/>
    <col min="12512" max="12512" width="6.4140625" style="3"/>
    <col min="12513" max="12513" width="6.4140625" style="2"/>
    <col min="12514" max="12514" width="6.4140625" style="3"/>
    <col min="12515" max="12516" width="6.4140625" style="2"/>
    <col min="12517" max="12517" width="6.4140625" style="1"/>
    <col min="12518" max="12518" width="6.4140625" style="2"/>
    <col min="12519" max="12519" width="6.4140625" style="3"/>
    <col min="12520" max="12520" width="6.4140625" style="2"/>
    <col min="12521" max="12521" width="6.4140625" style="3"/>
    <col min="12522" max="12523" width="6.4140625" style="2"/>
    <col min="12524" max="12524" width="6.4140625" style="1"/>
    <col min="12525" max="12525" width="6.4140625" style="2"/>
    <col min="12526" max="12526" width="6.4140625" style="3"/>
    <col min="12527" max="12527" width="6.4140625" style="2"/>
    <col min="12528" max="12528" width="6.4140625" style="3"/>
    <col min="12529" max="12530" width="6.4140625" style="2"/>
    <col min="12531" max="12531" width="6.4140625" style="1"/>
    <col min="12532" max="12532" width="6.4140625" style="2"/>
    <col min="12533" max="12533" width="6.4140625" style="3"/>
    <col min="12534" max="12534" width="6.4140625" style="2"/>
    <col min="12535" max="12535" width="6.4140625" style="3"/>
    <col min="12536" max="12537" width="6.4140625" style="2"/>
    <col min="12538" max="12538" width="6.4140625" style="1"/>
    <col min="12539" max="12539" width="6.4140625" style="2"/>
    <col min="12540" max="12540" width="6.4140625" style="3"/>
    <col min="12541" max="12541" width="6.4140625" style="2"/>
    <col min="12542" max="12542" width="6.4140625" style="3"/>
    <col min="12543" max="12544" width="6.4140625" style="2"/>
    <col min="12545" max="12545" width="6.4140625" style="1"/>
    <col min="12546" max="12546" width="6.4140625" style="2"/>
    <col min="12547" max="12547" width="6.4140625" style="3"/>
    <col min="12548" max="12548" width="6.4140625" style="2"/>
    <col min="12549" max="12549" width="6.4140625" style="3"/>
    <col min="12550" max="12551" width="6.4140625" style="2"/>
    <col min="12552" max="12552" width="6.4140625" style="1"/>
    <col min="12553" max="12553" width="6.4140625" style="2"/>
    <col min="12554" max="12554" width="6.4140625" style="3"/>
    <col min="12555" max="12555" width="6.4140625" style="2"/>
    <col min="12556" max="12556" width="6.4140625" style="3"/>
    <col min="12557" max="12558" width="6.4140625" style="2"/>
    <col min="12559" max="12559" width="6.4140625" style="1"/>
    <col min="12560" max="12560" width="6.4140625" style="2"/>
    <col min="12561" max="12561" width="6.4140625" style="3"/>
    <col min="12562" max="12562" width="6.4140625" style="2"/>
    <col min="12563" max="12563" width="6.4140625" style="3"/>
    <col min="12564" max="12565" width="6.4140625" style="2"/>
    <col min="12566" max="12566" width="6.4140625" style="1"/>
    <col min="12567" max="12567" width="6.4140625" style="2"/>
    <col min="12568" max="12568" width="6.4140625" style="3"/>
    <col min="12569" max="12569" width="6.4140625" style="2"/>
    <col min="12570" max="12570" width="6.4140625" style="3"/>
    <col min="12571" max="12572" width="6.4140625" style="2"/>
    <col min="12573" max="12573" width="6.4140625" style="1"/>
    <col min="12574" max="12574" width="6.4140625" style="2"/>
    <col min="12575" max="12575" width="6.4140625" style="3"/>
    <col min="12576" max="12576" width="6.4140625" style="2"/>
    <col min="12577" max="12577" width="6.4140625" style="3"/>
    <col min="12578" max="12579" width="6.4140625" style="2"/>
    <col min="12580" max="12580" width="6.4140625" style="1"/>
    <col min="12581" max="12581" width="6.4140625" style="2"/>
    <col min="12582" max="12582" width="6.4140625" style="3"/>
    <col min="12583" max="12583" width="6.4140625" style="2"/>
    <col min="12584" max="12584" width="6.4140625" style="3"/>
    <col min="12585" max="12586" width="6.4140625" style="2"/>
    <col min="12587" max="12587" width="6.4140625" style="1"/>
    <col min="12588" max="12588" width="6.4140625" style="2"/>
    <col min="12589" max="12589" width="6.4140625" style="3"/>
    <col min="12590" max="12590" width="6.4140625" style="2"/>
    <col min="12591" max="12591" width="6.4140625" style="3"/>
    <col min="12592" max="12593" width="6.4140625" style="2"/>
    <col min="12594" max="12594" width="6.4140625" style="1"/>
    <col min="12595" max="12595" width="6.4140625" style="2"/>
    <col min="12596" max="12596" width="6.4140625" style="3"/>
    <col min="12597" max="12597" width="6.4140625" style="2"/>
    <col min="12598" max="12598" width="6.4140625" style="3"/>
    <col min="12599" max="12600" width="6.4140625" style="2"/>
    <col min="12601" max="12601" width="6.4140625" style="1"/>
    <col min="12602" max="12602" width="6.4140625" style="2"/>
    <col min="12603" max="12603" width="6.4140625" style="3"/>
    <col min="12604" max="12604" width="6.4140625" style="2"/>
    <col min="12605" max="12605" width="6.4140625" style="3"/>
    <col min="12606" max="12607" width="6.4140625" style="2"/>
    <col min="12608" max="12608" width="6.4140625" style="1"/>
    <col min="12609" max="12609" width="6.4140625" style="2"/>
    <col min="12610" max="12610" width="6.4140625" style="3"/>
    <col min="12611" max="12611" width="6.4140625" style="2"/>
    <col min="12612" max="12612" width="6.4140625" style="3"/>
    <col min="12613" max="12614" width="6.4140625" style="2"/>
    <col min="12615" max="12615" width="6.4140625" style="1"/>
    <col min="12616" max="12616" width="6.4140625" style="2"/>
    <col min="12617" max="12617" width="6.4140625" style="3"/>
    <col min="12618" max="12618" width="6.4140625" style="2"/>
    <col min="12619" max="12619" width="6.4140625" style="3"/>
    <col min="12620" max="12621" width="6.4140625" style="2"/>
    <col min="12622" max="12622" width="6.4140625" style="1"/>
    <col min="12623" max="12623" width="6.4140625" style="2"/>
    <col min="12624" max="12624" width="6.4140625" style="3"/>
    <col min="12625" max="12625" width="6.4140625" style="2"/>
    <col min="12626" max="12626" width="6.4140625" style="3"/>
    <col min="12627" max="12628" width="6.4140625" style="2"/>
    <col min="12629" max="12629" width="6.4140625" style="1"/>
    <col min="12630" max="12630" width="6.4140625" style="2"/>
    <col min="12631" max="12631" width="6.4140625" style="3"/>
    <col min="12632" max="12632" width="6.4140625" style="2"/>
    <col min="12633" max="12633" width="6.4140625" style="3"/>
    <col min="12634" max="12635" width="6.4140625" style="2"/>
    <col min="12636" max="12636" width="6.4140625" style="1"/>
    <col min="12637" max="12637" width="6.4140625" style="2"/>
    <col min="12638" max="12638" width="6.4140625" style="3"/>
    <col min="12639" max="12639" width="6.4140625" style="2"/>
    <col min="12640" max="12640" width="6.4140625" style="3"/>
    <col min="12641" max="12642" width="6.4140625" style="2"/>
    <col min="12643" max="12643" width="6.4140625" style="1"/>
    <col min="12644" max="12644" width="6.4140625" style="2"/>
    <col min="12645" max="12645" width="6.4140625" style="3"/>
    <col min="12646" max="12646" width="6.4140625" style="2"/>
    <col min="12647" max="12647" width="6.4140625" style="3"/>
    <col min="12648" max="12649" width="6.4140625" style="2"/>
    <col min="12650" max="12650" width="6.4140625" style="1"/>
    <col min="12651" max="12651" width="6.4140625" style="2"/>
    <col min="12652" max="12652" width="6.4140625" style="3"/>
    <col min="12653" max="12653" width="6.4140625" style="2"/>
    <col min="12654" max="12654" width="6.4140625" style="3"/>
    <col min="12655" max="12656" width="6.4140625" style="2"/>
    <col min="12657" max="12657" width="6.4140625" style="1"/>
    <col min="12658" max="12658" width="6.4140625" style="2"/>
    <col min="12659" max="12659" width="6.4140625" style="3"/>
    <col min="12660" max="12660" width="6.4140625" style="2"/>
    <col min="12661" max="12661" width="6.4140625" style="3"/>
    <col min="12662" max="12663" width="6.4140625" style="2"/>
    <col min="12664" max="12664" width="6.4140625" style="1"/>
    <col min="12665" max="12665" width="6.4140625" style="2"/>
    <col min="12666" max="12666" width="6.4140625" style="3"/>
    <col min="12667" max="12667" width="6.4140625" style="2"/>
    <col min="12668" max="12668" width="6.4140625" style="3"/>
    <col min="12669" max="12670" width="6.4140625" style="2"/>
    <col min="12671" max="12671" width="6.4140625" style="1"/>
    <col min="12672" max="12672" width="6.4140625" style="2"/>
    <col min="12673" max="12673" width="6.4140625" style="3"/>
    <col min="12674" max="12674" width="6.4140625" style="2"/>
    <col min="12675" max="12675" width="6.4140625" style="3"/>
    <col min="12676" max="12677" width="6.4140625" style="2"/>
    <col min="12678" max="12678" width="6.4140625" style="1"/>
    <col min="12679" max="12679" width="6.4140625" style="2"/>
    <col min="12680" max="12680" width="6.4140625" style="3"/>
    <col min="12681" max="12681" width="6.4140625" style="2"/>
    <col min="12682" max="12682" width="6.4140625" style="3"/>
    <col min="12683" max="12684" width="6.4140625" style="2"/>
    <col min="12685" max="12685" width="6.4140625" style="1"/>
    <col min="12686" max="12686" width="6.4140625" style="2"/>
    <col min="12687" max="12687" width="6.4140625" style="3"/>
    <col min="12688" max="12688" width="6.4140625" style="2"/>
    <col min="12689" max="12689" width="6.4140625" style="3"/>
    <col min="12690" max="12691" width="6.4140625" style="2"/>
    <col min="12692" max="12692" width="6.4140625" style="1"/>
    <col min="12693" max="12693" width="6.4140625" style="2"/>
    <col min="12694" max="12694" width="6.4140625" style="3"/>
    <col min="12695" max="12695" width="6.4140625" style="2"/>
    <col min="12696" max="12696" width="6.4140625" style="3"/>
    <col min="12697" max="12698" width="6.4140625" style="2"/>
    <col min="12699" max="12699" width="6.4140625" style="1"/>
    <col min="12700" max="12700" width="6.4140625" style="2"/>
    <col min="12701" max="12701" width="6.4140625" style="3"/>
    <col min="12702" max="12702" width="6.4140625" style="2"/>
    <col min="12703" max="12703" width="6.4140625" style="3"/>
    <col min="12704" max="12705" width="6.4140625" style="2"/>
    <col min="12706" max="12706" width="6.4140625" style="1"/>
    <col min="12707" max="12707" width="6.4140625" style="2"/>
    <col min="12708" max="12708" width="6.4140625" style="3"/>
    <col min="12709" max="12709" width="6.4140625" style="2"/>
    <col min="12710" max="12710" width="6.4140625" style="3"/>
    <col min="12711" max="12712" width="6.4140625" style="2"/>
    <col min="12713" max="12713" width="6.4140625" style="1"/>
    <col min="12714" max="12714" width="6.4140625" style="2"/>
    <col min="12715" max="12715" width="6.4140625" style="3"/>
    <col min="12716" max="12716" width="6.4140625" style="2"/>
    <col min="12717" max="12717" width="6.4140625" style="3"/>
    <col min="12718" max="12719" width="6.4140625" style="2"/>
    <col min="12720" max="12720" width="6.4140625" style="1"/>
    <col min="12721" max="12721" width="6.4140625" style="2"/>
    <col min="12722" max="12722" width="6.4140625" style="3"/>
    <col min="12723" max="12723" width="6.4140625" style="2"/>
    <col min="12724" max="12724" width="6.4140625" style="3"/>
    <col min="12725" max="12726" width="6.4140625" style="2"/>
    <col min="12727" max="12727" width="6.4140625" style="1"/>
    <col min="12728" max="12728" width="6.4140625" style="2"/>
    <col min="12729" max="12729" width="6.4140625" style="3"/>
    <col min="12730" max="12730" width="6.4140625" style="2"/>
    <col min="12731" max="12731" width="6.4140625" style="3"/>
    <col min="12732" max="12733" width="6.4140625" style="2"/>
    <col min="12734" max="12734" width="6.4140625" style="1"/>
    <col min="12735" max="12735" width="6.4140625" style="2"/>
    <col min="12736" max="12736" width="6.4140625" style="3"/>
    <col min="12737" max="12737" width="6.4140625" style="2"/>
    <col min="12738" max="12738" width="6.4140625" style="3"/>
    <col min="12739" max="12740" width="6.4140625" style="2"/>
    <col min="12741" max="12741" width="6.4140625" style="1"/>
    <col min="12742" max="12742" width="6.4140625" style="2"/>
    <col min="12743" max="12743" width="6.4140625" style="3"/>
    <col min="12744" max="12744" width="6.4140625" style="2"/>
    <col min="12745" max="12745" width="6.4140625" style="3"/>
    <col min="12746" max="12747" width="6.4140625" style="2"/>
    <col min="12748" max="12748" width="6.4140625" style="1"/>
    <col min="12749" max="12749" width="6.4140625" style="2"/>
    <col min="12750" max="12750" width="6.4140625" style="3"/>
    <col min="12751" max="12751" width="6.4140625" style="2"/>
    <col min="12752" max="12752" width="6.4140625" style="3"/>
    <col min="12753" max="12754" width="6.4140625" style="2"/>
    <col min="12755" max="12755" width="6.4140625" style="1"/>
    <col min="12756" max="12756" width="6.4140625" style="2"/>
    <col min="12757" max="12757" width="6.4140625" style="3"/>
    <col min="12758" max="12758" width="6.4140625" style="2"/>
    <col min="12759" max="12759" width="6.4140625" style="3"/>
    <col min="12760" max="12761" width="6.4140625" style="2"/>
    <col min="12762" max="12762" width="6.4140625" style="1"/>
    <col min="12763" max="12763" width="6.4140625" style="2"/>
    <col min="12764" max="12764" width="6.4140625" style="3"/>
    <col min="12765" max="12765" width="6.4140625" style="2"/>
    <col min="12766" max="12766" width="6.4140625" style="3"/>
    <col min="12767" max="12768" width="6.4140625" style="2"/>
    <col min="12769" max="12769" width="6.4140625" style="1"/>
    <col min="12770" max="12770" width="6.4140625" style="2"/>
    <col min="12771" max="12771" width="6.4140625" style="3"/>
    <col min="12772" max="12772" width="6.4140625" style="2"/>
    <col min="12773" max="12773" width="6.4140625" style="3"/>
    <col min="12774" max="12775" width="6.4140625" style="2"/>
    <col min="12776" max="12776" width="6.4140625" style="1"/>
    <col min="12777" max="12777" width="6.4140625" style="2"/>
    <col min="12778" max="12778" width="6.4140625" style="3"/>
    <col min="12779" max="12779" width="6.4140625" style="2"/>
    <col min="12780" max="12780" width="6.4140625" style="3"/>
    <col min="12781" max="12782" width="6.4140625" style="2"/>
    <col min="12783" max="12783" width="6.4140625" style="1"/>
    <col min="12784" max="12784" width="6.4140625" style="2"/>
    <col min="12785" max="12785" width="6.4140625" style="3"/>
    <col min="12786" max="12786" width="6.4140625" style="2"/>
    <col min="12787" max="12787" width="6.4140625" style="3"/>
    <col min="12788" max="12789" width="6.4140625" style="2"/>
    <col min="12790" max="12790" width="6.4140625" style="1"/>
    <col min="12791" max="12791" width="6.4140625" style="2"/>
    <col min="12792" max="12792" width="6.4140625" style="3"/>
    <col min="12793" max="12793" width="6.4140625" style="2"/>
    <col min="12794" max="12794" width="6.4140625" style="3"/>
    <col min="12795" max="12796" width="6.4140625" style="2"/>
    <col min="12797" max="12797" width="6.4140625" style="1"/>
    <col min="12798" max="12798" width="6.4140625" style="2"/>
    <col min="12799" max="12799" width="6.4140625" style="3"/>
    <col min="12800" max="12800" width="6.4140625" style="2"/>
    <col min="12801" max="12801" width="6.4140625" style="3"/>
    <col min="12802" max="12803" width="6.4140625" style="2"/>
    <col min="12804" max="12804" width="6.4140625" style="1"/>
    <col min="12805" max="12805" width="6.4140625" style="2"/>
    <col min="12806" max="12806" width="6.4140625" style="3"/>
    <col min="12807" max="12807" width="6.4140625" style="2"/>
    <col min="12808" max="12808" width="6.4140625" style="3"/>
    <col min="12809" max="12810" width="6.4140625" style="2"/>
    <col min="12811" max="12811" width="6.4140625" style="1"/>
    <col min="12812" max="12812" width="6.4140625" style="2"/>
    <col min="12813" max="12813" width="6.4140625" style="3"/>
    <col min="12814" max="12814" width="6.4140625" style="2"/>
    <col min="12815" max="12815" width="6.4140625" style="3"/>
    <col min="12816" max="12817" width="6.4140625" style="2"/>
    <col min="12818" max="12818" width="6.4140625" style="1"/>
    <col min="12819" max="12819" width="6.4140625" style="2"/>
    <col min="12820" max="12820" width="6.4140625" style="3"/>
    <col min="12821" max="12821" width="6.4140625" style="2"/>
    <col min="12822" max="12822" width="6.4140625" style="3"/>
    <col min="12823" max="12824" width="6.4140625" style="2"/>
    <col min="12825" max="12825" width="6.4140625" style="1"/>
    <col min="12826" max="12826" width="6.4140625" style="2"/>
    <col min="12827" max="12827" width="6.4140625" style="3"/>
    <col min="12828" max="12828" width="6.4140625" style="2"/>
    <col min="12829" max="12829" width="6.4140625" style="3"/>
    <col min="12830" max="12831" width="6.4140625" style="2"/>
    <col min="12832" max="12832" width="6.4140625" style="1"/>
    <col min="12833" max="12833" width="6.4140625" style="2"/>
    <col min="12834" max="12834" width="6.4140625" style="3"/>
    <col min="12835" max="12835" width="6.4140625" style="2"/>
    <col min="12836" max="12836" width="6.4140625" style="3"/>
    <col min="12837" max="12838" width="6.4140625" style="2"/>
    <col min="12839" max="12839" width="6.4140625" style="1"/>
    <col min="12840" max="12840" width="6.4140625" style="2"/>
    <col min="12841" max="12841" width="6.4140625" style="3"/>
    <col min="12842" max="12842" width="6.4140625" style="2"/>
    <col min="12843" max="12843" width="6.4140625" style="3"/>
    <col min="12844" max="12845" width="6.4140625" style="2"/>
    <col min="12846" max="12846" width="6.4140625" style="1"/>
    <col min="12847" max="12847" width="6.4140625" style="2"/>
    <col min="12848" max="12848" width="6.4140625" style="3"/>
    <col min="12849" max="12849" width="6.4140625" style="2"/>
    <col min="12850" max="12850" width="6.4140625" style="3"/>
    <col min="12851" max="12852" width="6.4140625" style="2"/>
    <col min="12853" max="12853" width="6.4140625" style="1"/>
    <col min="12854" max="12854" width="6.4140625" style="2"/>
    <col min="12855" max="12855" width="6.4140625" style="3"/>
    <col min="12856" max="12856" width="6.4140625" style="2"/>
    <col min="12857" max="12857" width="6.4140625" style="3"/>
    <col min="12858" max="12859" width="6.4140625" style="2"/>
    <col min="12860" max="12860" width="6.4140625" style="1"/>
    <col min="12861" max="12861" width="6.4140625" style="2"/>
    <col min="12862" max="12862" width="6.4140625" style="3"/>
    <col min="12863" max="12863" width="6.4140625" style="2"/>
    <col min="12864" max="12864" width="6.4140625" style="3"/>
    <col min="12865" max="12866" width="6.4140625" style="2"/>
    <col min="12867" max="12867" width="6.4140625" style="1"/>
    <col min="12868" max="12868" width="6.4140625" style="2"/>
    <col min="12869" max="12869" width="6.4140625" style="3"/>
    <col min="12870" max="12870" width="6.4140625" style="2"/>
    <col min="12871" max="12871" width="6.4140625" style="3"/>
    <col min="12872" max="12873" width="6.4140625" style="2"/>
    <col min="12874" max="12874" width="6.4140625" style="1"/>
    <col min="12875" max="12875" width="6.4140625" style="2"/>
    <col min="12876" max="12876" width="6.4140625" style="3"/>
    <col min="12877" max="12877" width="6.4140625" style="2"/>
    <col min="12878" max="12878" width="6.4140625" style="3"/>
    <col min="12879" max="12880" width="6.4140625" style="2"/>
    <col min="12881" max="12881" width="6.4140625" style="1"/>
    <col min="12882" max="12882" width="6.4140625" style="2"/>
    <col min="12883" max="12883" width="6.4140625" style="3"/>
    <col min="12884" max="12884" width="6.4140625" style="2"/>
    <col min="12885" max="12885" width="6.4140625" style="3"/>
    <col min="12886" max="12887" width="6.4140625" style="2"/>
    <col min="12888" max="12888" width="6.4140625" style="1"/>
    <col min="12889" max="12889" width="6.4140625" style="2"/>
    <col min="12890" max="12890" width="6.4140625" style="3"/>
    <col min="12891" max="12891" width="6.4140625" style="2"/>
    <col min="12892" max="12892" width="6.4140625" style="3"/>
    <col min="12893" max="12894" width="6.4140625" style="2"/>
    <col min="12895" max="12895" width="6.4140625" style="1"/>
    <col min="12896" max="12896" width="6.4140625" style="2"/>
    <col min="12897" max="12897" width="6.4140625" style="3"/>
    <col min="12898" max="12898" width="6.4140625" style="2"/>
    <col min="12899" max="12899" width="6.4140625" style="3"/>
    <col min="12900" max="12901" width="6.4140625" style="2"/>
    <col min="12902" max="12902" width="6.4140625" style="1"/>
    <col min="12903" max="12903" width="6.4140625" style="2"/>
    <col min="12904" max="12904" width="6.4140625" style="3"/>
    <col min="12905" max="12905" width="6.4140625" style="2"/>
    <col min="12906" max="12906" width="6.4140625" style="3"/>
    <col min="12907" max="12908" width="6.4140625" style="2"/>
    <col min="12909" max="12909" width="6.4140625" style="1"/>
    <col min="12910" max="12910" width="6.4140625" style="2"/>
    <col min="12911" max="12911" width="6.4140625" style="3"/>
    <col min="12912" max="12912" width="6.4140625" style="2"/>
    <col min="12913" max="12913" width="6.4140625" style="3"/>
    <col min="12914" max="12915" width="6.4140625" style="2"/>
    <col min="12916" max="12916" width="6.4140625" style="1"/>
    <col min="12917" max="12917" width="6.4140625" style="2"/>
    <col min="12918" max="12918" width="6.4140625" style="3"/>
    <col min="12919" max="12919" width="6.4140625" style="2"/>
    <col min="12920" max="12920" width="6.4140625" style="3"/>
    <col min="12921" max="12922" width="6.4140625" style="2"/>
    <col min="12923" max="12923" width="6.4140625" style="1"/>
    <col min="12924" max="12924" width="6.4140625" style="2"/>
    <col min="12925" max="12925" width="6.4140625" style="3"/>
    <col min="12926" max="12926" width="6.4140625" style="2"/>
    <col min="12927" max="12927" width="6.4140625" style="3"/>
    <col min="12928" max="12929" width="6.4140625" style="2"/>
    <col min="12930" max="12930" width="6.4140625" style="1"/>
    <col min="12931" max="12931" width="6.4140625" style="2"/>
    <col min="12932" max="12932" width="6.4140625" style="3"/>
    <col min="12933" max="12933" width="6.4140625" style="2"/>
    <col min="12934" max="12934" width="6.4140625" style="3"/>
    <col min="12935" max="12936" width="6.4140625" style="2"/>
    <col min="12937" max="12937" width="6.4140625" style="1"/>
    <col min="12938" max="12938" width="6.4140625" style="2"/>
    <col min="12939" max="12939" width="6.4140625" style="3"/>
    <col min="12940" max="12940" width="6.4140625" style="2"/>
    <col min="12941" max="12941" width="6.4140625" style="3"/>
    <col min="12942" max="12943" width="6.4140625" style="2"/>
    <col min="12944" max="12944" width="6.4140625" style="1"/>
    <col min="12945" max="12945" width="6.4140625" style="2"/>
    <col min="12946" max="12946" width="6.4140625" style="3"/>
    <col min="12947" max="12947" width="6.4140625" style="2"/>
    <col min="12948" max="12948" width="6.4140625" style="3"/>
    <col min="12949" max="12950" width="6.4140625" style="2"/>
    <col min="12951" max="12951" width="6.4140625" style="1"/>
    <col min="12952" max="12952" width="6.4140625" style="2"/>
    <col min="12953" max="12953" width="6.4140625" style="3"/>
    <col min="12954" max="12954" width="6.4140625" style="2"/>
    <col min="12955" max="12955" width="6.4140625" style="3"/>
    <col min="12956" max="12957" width="6.4140625" style="2"/>
    <col min="12958" max="12958" width="6.4140625" style="1"/>
    <col min="12959" max="12959" width="6.4140625" style="2"/>
    <col min="12960" max="12960" width="6.4140625" style="3"/>
    <col min="12961" max="12961" width="6.4140625" style="2"/>
    <col min="12962" max="12962" width="6.4140625" style="3"/>
    <col min="12963" max="12964" width="6.4140625" style="2"/>
    <col min="12965" max="12965" width="6.4140625" style="1"/>
    <col min="12966" max="12966" width="6.4140625" style="2"/>
    <col min="12967" max="12967" width="6.4140625" style="3"/>
    <col min="12968" max="12968" width="6.4140625" style="2"/>
    <col min="12969" max="12969" width="6.4140625" style="3"/>
    <col min="12970" max="12971" width="6.4140625" style="2"/>
    <col min="12972" max="12972" width="6.4140625" style="1"/>
    <col min="12973" max="12973" width="6.4140625" style="2"/>
    <col min="12974" max="12974" width="6.4140625" style="3"/>
    <col min="12975" max="12975" width="6.4140625" style="2"/>
    <col min="12976" max="12976" width="6.4140625" style="3"/>
    <col min="12977" max="12978" width="6.4140625" style="2"/>
    <col min="12979" max="12979" width="6.4140625" style="1"/>
    <col min="12980" max="12980" width="6.4140625" style="2"/>
    <col min="12981" max="12981" width="6.4140625" style="3"/>
    <col min="12982" max="12982" width="6.4140625" style="2"/>
    <col min="12983" max="12983" width="6.4140625" style="3"/>
    <col min="12984" max="12985" width="6.4140625" style="2"/>
    <col min="12986" max="12986" width="6.4140625" style="1"/>
    <col min="12987" max="12987" width="6.4140625" style="2"/>
    <col min="12988" max="12988" width="6.4140625" style="3"/>
    <col min="12989" max="12989" width="6.4140625" style="2"/>
    <col min="12990" max="12990" width="6.4140625" style="3"/>
    <col min="12991" max="12992" width="6.4140625" style="2"/>
    <col min="12993" max="12993" width="6.4140625" style="1"/>
    <col min="12994" max="12994" width="6.4140625" style="2"/>
    <col min="12995" max="12995" width="6.4140625" style="3"/>
    <col min="12996" max="12996" width="6.4140625" style="2"/>
    <col min="12997" max="12997" width="6.4140625" style="3"/>
    <col min="12998" max="12999" width="6.4140625" style="2"/>
    <col min="13000" max="13000" width="6.4140625" style="1"/>
    <col min="13001" max="13001" width="6.4140625" style="2"/>
    <col min="13002" max="13002" width="6.4140625" style="3"/>
    <col min="13003" max="13003" width="6.4140625" style="2"/>
    <col min="13004" max="13004" width="6.4140625" style="3"/>
    <col min="13005" max="13006" width="6.4140625" style="2"/>
    <col min="13007" max="13007" width="6.4140625" style="1"/>
    <col min="13008" max="13008" width="6.4140625" style="2"/>
    <col min="13009" max="13009" width="6.4140625" style="3"/>
    <col min="13010" max="13010" width="6.4140625" style="2"/>
    <col min="13011" max="13011" width="6.4140625" style="3"/>
    <col min="13012" max="13013" width="6.4140625" style="2"/>
    <col min="13014" max="13014" width="6.4140625" style="1"/>
    <col min="13015" max="13015" width="6.4140625" style="2"/>
    <col min="13016" max="13016" width="6.4140625" style="3"/>
    <col min="13017" max="13017" width="6.4140625" style="2"/>
    <col min="13018" max="13018" width="6.4140625" style="3"/>
    <col min="13019" max="13020" width="6.4140625" style="2"/>
    <col min="13021" max="13021" width="6.4140625" style="1"/>
    <col min="13022" max="13022" width="6.4140625" style="2"/>
    <col min="13023" max="13023" width="6.4140625" style="3"/>
    <col min="13024" max="13024" width="6.4140625" style="2"/>
    <col min="13025" max="13025" width="6.4140625" style="3"/>
    <col min="13026" max="13027" width="6.4140625" style="2"/>
    <col min="13028" max="13028" width="6.4140625" style="1"/>
    <col min="13029" max="13029" width="6.4140625" style="2"/>
    <col min="13030" max="13030" width="6.4140625" style="3"/>
    <col min="13031" max="13031" width="6.4140625" style="2"/>
    <col min="13032" max="13032" width="6.4140625" style="3"/>
    <col min="13033" max="13034" width="6.4140625" style="2"/>
    <col min="13035" max="13035" width="6.4140625" style="1"/>
    <col min="13036" max="13036" width="6.4140625" style="2"/>
    <col min="13037" max="13037" width="6.4140625" style="3"/>
    <col min="13038" max="13038" width="6.4140625" style="2"/>
    <col min="13039" max="13039" width="6.4140625" style="3"/>
    <col min="13040" max="13041" width="6.4140625" style="2"/>
    <col min="13042" max="13042" width="6.4140625" style="1"/>
    <col min="13043" max="13043" width="6.4140625" style="2"/>
    <col min="13044" max="13044" width="6.4140625" style="3"/>
    <col min="13045" max="13045" width="6.4140625" style="2"/>
    <col min="13046" max="13046" width="6.4140625" style="3"/>
    <col min="13047" max="13048" width="6.4140625" style="2"/>
    <col min="13049" max="13049" width="6.4140625" style="1"/>
    <col min="13050" max="13050" width="6.4140625" style="2"/>
    <col min="13051" max="13051" width="6.4140625" style="3"/>
    <col min="13052" max="13052" width="6.4140625" style="2"/>
    <col min="13053" max="13053" width="6.4140625" style="3"/>
    <col min="13054" max="13055" width="6.4140625" style="2"/>
    <col min="13056" max="13056" width="6.4140625" style="1"/>
    <col min="13057" max="13057" width="6.4140625" style="2"/>
    <col min="13058" max="13058" width="6.4140625" style="3"/>
    <col min="13059" max="13059" width="6.4140625" style="2"/>
    <col min="13060" max="13060" width="6.4140625" style="3"/>
    <col min="13061" max="13062" width="6.4140625" style="2"/>
    <col min="13063" max="13063" width="6.4140625" style="1"/>
    <col min="13064" max="13064" width="6.4140625" style="2"/>
    <col min="13065" max="13065" width="6.4140625" style="3"/>
    <col min="13066" max="13066" width="6.4140625" style="2"/>
    <col min="13067" max="13067" width="6.4140625" style="3"/>
    <col min="13068" max="13069" width="6.4140625" style="2"/>
    <col min="13070" max="13070" width="6.4140625" style="1"/>
    <col min="13071" max="13071" width="6.4140625" style="2"/>
    <col min="13072" max="13072" width="6.4140625" style="3"/>
    <col min="13073" max="13073" width="6.4140625" style="2"/>
    <col min="13074" max="13074" width="6.4140625" style="3"/>
    <col min="13075" max="13076" width="6.4140625" style="2"/>
    <col min="13077" max="13077" width="6.4140625" style="1"/>
    <col min="13078" max="13078" width="6.4140625" style="2"/>
    <col min="13079" max="13079" width="6.4140625" style="3"/>
    <col min="13080" max="13080" width="6.4140625" style="2"/>
    <col min="13081" max="13081" width="6.4140625" style="3"/>
    <col min="13082" max="13083" width="6.4140625" style="2"/>
    <col min="13084" max="13084" width="6.4140625" style="1"/>
    <col min="13085" max="13085" width="6.4140625" style="2"/>
    <col min="13086" max="13086" width="6.4140625" style="3"/>
    <col min="13087" max="13087" width="6.4140625" style="2"/>
    <col min="13088" max="13088" width="6.4140625" style="3"/>
    <col min="13089" max="13090" width="6.4140625" style="2"/>
    <col min="13091" max="13091" width="6.4140625" style="1"/>
    <col min="13092" max="13092" width="6.4140625" style="2"/>
    <col min="13093" max="13093" width="6.4140625" style="3"/>
    <col min="13094" max="13094" width="6.4140625" style="2"/>
    <col min="13095" max="13095" width="6.4140625" style="3"/>
    <col min="13096" max="13097" width="6.4140625" style="2"/>
    <col min="13098" max="13098" width="6.4140625" style="1"/>
    <col min="13099" max="13099" width="6.4140625" style="2"/>
    <col min="13100" max="13100" width="6.4140625" style="3"/>
    <col min="13101" max="13101" width="6.4140625" style="2"/>
    <col min="13102" max="13102" width="6.4140625" style="3"/>
    <col min="13103" max="13104" width="6.4140625" style="2"/>
    <col min="13105" max="13105" width="6.4140625" style="1"/>
    <col min="13106" max="13106" width="6.4140625" style="2"/>
    <col min="13107" max="13107" width="6.4140625" style="3"/>
    <col min="13108" max="13108" width="6.4140625" style="2"/>
    <col min="13109" max="13109" width="6.4140625" style="3"/>
    <col min="13110" max="13111" width="6.4140625" style="2"/>
    <col min="13112" max="13112" width="6.4140625" style="1"/>
    <col min="13113" max="13113" width="6.4140625" style="2"/>
    <col min="13114" max="13114" width="6.4140625" style="3"/>
    <col min="13115" max="13115" width="6.4140625" style="2"/>
    <col min="13116" max="13116" width="6.4140625" style="3"/>
    <col min="13117" max="13118" width="6.4140625" style="2"/>
    <col min="13119" max="13119" width="6.4140625" style="1"/>
    <col min="13120" max="13120" width="6.4140625" style="2"/>
    <col min="13121" max="13121" width="6.4140625" style="3"/>
    <col min="13122" max="13122" width="6.4140625" style="2"/>
    <col min="13123" max="13123" width="6.4140625" style="3"/>
    <col min="13124" max="13125" width="6.4140625" style="2"/>
    <col min="13126" max="13126" width="6.4140625" style="1"/>
    <col min="13127" max="13127" width="6.4140625" style="2"/>
    <col min="13128" max="13128" width="6.4140625" style="3"/>
    <col min="13129" max="13129" width="6.4140625" style="2"/>
    <col min="13130" max="13130" width="6.4140625" style="3"/>
    <col min="13131" max="13132" width="6.4140625" style="2"/>
    <col min="13133" max="13133" width="6.4140625" style="1"/>
    <col min="13134" max="13134" width="6.4140625" style="2"/>
    <col min="13135" max="13135" width="6.4140625" style="3"/>
    <col min="13136" max="13136" width="6.4140625" style="2"/>
    <col min="13137" max="13137" width="6.4140625" style="3"/>
    <col min="13138" max="13139" width="6.4140625" style="2"/>
    <col min="13140" max="13140" width="6.4140625" style="1"/>
    <col min="13141" max="13141" width="6.4140625" style="2"/>
    <col min="13142" max="13142" width="6.4140625" style="3"/>
    <col min="13143" max="13143" width="6.4140625" style="2"/>
    <col min="13144" max="13144" width="6.4140625" style="3"/>
    <col min="13145" max="13146" width="6.4140625" style="2"/>
    <col min="13147" max="13147" width="6.4140625" style="1"/>
    <col min="13148" max="13148" width="6.4140625" style="2"/>
    <col min="13149" max="13149" width="6.4140625" style="3"/>
    <col min="13150" max="13150" width="6.4140625" style="2"/>
    <col min="13151" max="13151" width="6.4140625" style="3"/>
    <col min="13152" max="13153" width="6.4140625" style="2"/>
    <col min="13154" max="13154" width="6.4140625" style="1"/>
    <col min="13155" max="13155" width="6.4140625" style="2"/>
    <col min="13156" max="13156" width="6.4140625" style="3"/>
    <col min="13157" max="13157" width="6.4140625" style="2"/>
    <col min="13158" max="13158" width="6.4140625" style="3"/>
    <col min="13159" max="13160" width="6.4140625" style="2"/>
    <col min="13161" max="13161" width="6.4140625" style="1"/>
    <col min="13162" max="13162" width="6.4140625" style="2"/>
    <col min="13163" max="13163" width="6.4140625" style="3"/>
    <col min="13164" max="13164" width="6.4140625" style="2"/>
    <col min="13165" max="13165" width="6.4140625" style="3"/>
    <col min="13166" max="13167" width="6.4140625" style="2"/>
    <col min="13168" max="13168" width="6.4140625" style="1"/>
    <col min="13169" max="13169" width="6.4140625" style="2"/>
    <col min="13170" max="13170" width="6.4140625" style="3"/>
    <col min="13171" max="13171" width="6.4140625" style="2"/>
    <col min="13172" max="13172" width="6.4140625" style="3"/>
    <col min="13173" max="13174" width="6.4140625" style="2"/>
    <col min="13175" max="13175" width="6.4140625" style="1"/>
    <col min="13176" max="13176" width="6.4140625" style="2"/>
    <col min="13177" max="13177" width="6.4140625" style="3"/>
    <col min="13178" max="13178" width="6.4140625" style="2"/>
    <col min="13179" max="13179" width="6.4140625" style="3"/>
    <col min="13180" max="13181" width="6.4140625" style="2"/>
    <col min="13182" max="13182" width="6.4140625" style="1"/>
    <col min="13183" max="13183" width="6.4140625" style="2"/>
    <col min="13184" max="13184" width="6.4140625" style="3"/>
    <col min="13185" max="13185" width="6.4140625" style="2"/>
    <col min="13186" max="13186" width="6.4140625" style="3"/>
    <col min="13187" max="13188" width="6.4140625" style="2"/>
    <col min="13189" max="13189" width="6.4140625" style="1"/>
    <col min="13190" max="13190" width="6.4140625" style="2"/>
    <col min="13191" max="13191" width="6.4140625" style="3"/>
    <col min="13192" max="13192" width="6.4140625" style="2"/>
    <col min="13193" max="13193" width="6.4140625" style="3"/>
    <col min="13194" max="13195" width="6.4140625" style="2"/>
    <col min="13196" max="13196" width="6.4140625" style="1"/>
    <col min="13197" max="13197" width="6.4140625" style="2"/>
    <col min="13198" max="13198" width="6.4140625" style="3"/>
    <col min="13199" max="13199" width="6.4140625" style="2"/>
    <col min="13200" max="13200" width="6.4140625" style="3"/>
    <col min="13201" max="13202" width="6.4140625" style="2"/>
    <col min="13203" max="13203" width="6.4140625" style="1"/>
    <col min="13204" max="13204" width="6.4140625" style="2"/>
    <col min="13205" max="13205" width="6.4140625" style="3"/>
    <col min="13206" max="13206" width="6.4140625" style="2"/>
    <col min="13207" max="13207" width="6.4140625" style="3"/>
    <col min="13208" max="13209" width="6.4140625" style="2"/>
    <col min="13210" max="13210" width="6.4140625" style="1"/>
    <col min="13211" max="13211" width="6.4140625" style="2"/>
    <col min="13212" max="13212" width="6.4140625" style="3"/>
    <col min="13213" max="13213" width="6.4140625" style="2"/>
    <col min="13214" max="13214" width="6.4140625" style="3"/>
    <col min="13215" max="13216" width="6.4140625" style="2"/>
    <col min="13217" max="13217" width="6.4140625" style="1"/>
    <col min="13218" max="13218" width="6.4140625" style="2"/>
    <col min="13219" max="13219" width="6.4140625" style="3"/>
    <col min="13220" max="13220" width="6.4140625" style="2"/>
    <col min="13221" max="13221" width="6.4140625" style="3"/>
    <col min="13222" max="13223" width="6.4140625" style="2"/>
    <col min="13224" max="13224" width="6.4140625" style="1"/>
    <col min="13225" max="13225" width="6.4140625" style="2"/>
    <col min="13226" max="13226" width="6.4140625" style="3"/>
    <col min="13227" max="13227" width="6.4140625" style="2"/>
    <col min="13228" max="13228" width="6.4140625" style="3"/>
    <col min="13229" max="13230" width="6.4140625" style="2"/>
    <col min="13231" max="13231" width="6.4140625" style="1"/>
    <col min="13232" max="13232" width="6.4140625" style="2"/>
    <col min="13233" max="13233" width="6.4140625" style="3"/>
    <col min="13234" max="13234" width="6.4140625" style="2"/>
    <col min="13235" max="13235" width="6.4140625" style="3"/>
    <col min="13236" max="13237" width="6.4140625" style="2"/>
    <col min="13238" max="13238" width="6.4140625" style="1"/>
    <col min="13239" max="13239" width="6.4140625" style="2"/>
    <col min="13240" max="13240" width="6.4140625" style="3"/>
    <col min="13241" max="13241" width="6.4140625" style="2"/>
    <col min="13242" max="13242" width="6.4140625" style="3"/>
    <col min="13243" max="13244" width="6.4140625" style="2"/>
    <col min="13245" max="13245" width="6.4140625" style="1"/>
    <col min="13246" max="13246" width="6.4140625" style="2"/>
    <col min="13247" max="13247" width="6.4140625" style="3"/>
    <col min="13248" max="13248" width="6.4140625" style="2"/>
    <col min="13249" max="13249" width="6.4140625" style="3"/>
    <col min="13250" max="13251" width="6.4140625" style="2"/>
    <col min="13252" max="13252" width="6.4140625" style="1"/>
    <col min="13253" max="13253" width="6.4140625" style="2"/>
    <col min="13254" max="13254" width="6.4140625" style="3"/>
    <col min="13255" max="13255" width="6.4140625" style="2"/>
    <col min="13256" max="13256" width="6.4140625" style="3"/>
    <col min="13257" max="13258" width="6.4140625" style="2"/>
    <col min="13259" max="13259" width="6.4140625" style="1"/>
    <col min="13260" max="13260" width="6.4140625" style="2"/>
    <col min="13261" max="13261" width="6.4140625" style="3"/>
    <col min="13262" max="13262" width="6.4140625" style="2"/>
    <col min="13263" max="13263" width="6.4140625" style="3"/>
    <col min="13264" max="13265" width="6.4140625" style="2"/>
    <col min="13266" max="13266" width="6.4140625" style="1"/>
    <col min="13267" max="13267" width="6.4140625" style="2"/>
    <col min="13268" max="13268" width="6.4140625" style="3"/>
    <col min="13269" max="13269" width="6.4140625" style="2"/>
    <col min="13270" max="13270" width="6.4140625" style="3"/>
    <col min="13271" max="13272" width="6.4140625" style="2"/>
    <col min="13273" max="13273" width="6.4140625" style="1"/>
    <col min="13274" max="13274" width="6.4140625" style="2"/>
    <col min="13275" max="13275" width="6.4140625" style="3"/>
    <col min="13276" max="13276" width="6.4140625" style="2"/>
    <col min="13277" max="13277" width="6.4140625" style="3"/>
    <col min="13278" max="13279" width="6.4140625" style="2"/>
    <col min="13280" max="13280" width="6.4140625" style="1"/>
    <col min="13281" max="13281" width="6.4140625" style="2"/>
    <col min="13282" max="13282" width="6.4140625" style="3"/>
    <col min="13283" max="13283" width="6.4140625" style="2"/>
    <col min="13284" max="13284" width="6.4140625" style="3"/>
    <col min="13285" max="13286" width="6.4140625" style="2"/>
    <col min="13287" max="13287" width="6.4140625" style="1"/>
    <col min="13288" max="13288" width="6.4140625" style="2"/>
    <col min="13289" max="13289" width="6.4140625" style="3"/>
    <col min="13290" max="13290" width="6.4140625" style="2"/>
    <col min="13291" max="13291" width="6.4140625" style="3"/>
    <col min="13292" max="13293" width="6.4140625" style="2"/>
    <col min="13294" max="13294" width="6.4140625" style="1"/>
    <col min="13295" max="13295" width="6.4140625" style="2"/>
    <col min="13296" max="13296" width="6.4140625" style="3"/>
    <col min="13297" max="13297" width="6.4140625" style="2"/>
    <col min="13298" max="13298" width="6.4140625" style="3"/>
    <col min="13299" max="13300" width="6.4140625" style="2"/>
    <col min="13301" max="13301" width="6.4140625" style="1"/>
    <col min="13302" max="13302" width="6.4140625" style="2"/>
    <col min="13303" max="13303" width="6.4140625" style="3"/>
    <col min="13304" max="13304" width="6.4140625" style="2"/>
    <col min="13305" max="13305" width="6.4140625" style="3"/>
    <col min="13306" max="13307" width="6.4140625" style="2"/>
    <col min="13308" max="13308" width="6.4140625" style="1"/>
    <col min="13309" max="13309" width="6.4140625" style="2"/>
    <col min="13310" max="13310" width="6.4140625" style="3"/>
    <col min="13311" max="13311" width="6.4140625" style="2"/>
    <col min="13312" max="13312" width="6.4140625" style="3"/>
    <col min="13313" max="13314" width="6.4140625" style="2"/>
    <col min="13315" max="13315" width="6.4140625" style="1"/>
    <col min="13316" max="13316" width="6.4140625" style="2"/>
    <col min="13317" max="13317" width="6.4140625" style="3"/>
    <col min="13318" max="13318" width="6.4140625" style="2"/>
    <col min="13319" max="13319" width="6.4140625" style="3"/>
    <col min="13320" max="13321" width="6.4140625" style="2"/>
    <col min="13322" max="13322" width="6.4140625" style="1"/>
    <col min="13323" max="13323" width="6.4140625" style="2"/>
    <col min="13324" max="13324" width="6.4140625" style="3"/>
    <col min="13325" max="13325" width="6.4140625" style="2"/>
    <col min="13326" max="13326" width="6.4140625" style="3"/>
    <col min="13327" max="13328" width="6.4140625" style="2"/>
    <col min="13329" max="13329" width="6.4140625" style="1"/>
    <col min="13330" max="13330" width="6.4140625" style="2"/>
    <col min="13331" max="13331" width="6.4140625" style="3"/>
    <col min="13332" max="13332" width="6.4140625" style="2"/>
    <col min="13333" max="13333" width="6.4140625" style="3"/>
    <col min="13334" max="13335" width="6.4140625" style="2"/>
    <col min="13336" max="13336" width="6.4140625" style="1"/>
    <col min="13337" max="13337" width="6.4140625" style="2"/>
    <col min="13338" max="13338" width="6.4140625" style="3"/>
    <col min="13339" max="13339" width="6.4140625" style="2"/>
    <col min="13340" max="13340" width="6.4140625" style="3"/>
    <col min="13341" max="13342" width="6.4140625" style="2"/>
    <col min="13343" max="13343" width="6.4140625" style="1"/>
    <col min="13344" max="13344" width="6.4140625" style="2"/>
    <col min="13345" max="13345" width="6.4140625" style="3"/>
    <col min="13346" max="13346" width="6.4140625" style="2"/>
    <col min="13347" max="13347" width="6.4140625" style="3"/>
    <col min="13348" max="13349" width="6.4140625" style="2"/>
    <col min="13350" max="13350" width="6.4140625" style="1"/>
    <col min="13351" max="13351" width="6.4140625" style="2"/>
    <col min="13352" max="13352" width="6.4140625" style="3"/>
    <col min="13353" max="13353" width="6.4140625" style="2"/>
    <col min="13354" max="13354" width="6.4140625" style="3"/>
    <col min="13355" max="13356" width="6.4140625" style="2"/>
    <col min="13357" max="13357" width="6.4140625" style="1"/>
    <col min="13358" max="13358" width="6.4140625" style="2"/>
    <col min="13359" max="13359" width="6.4140625" style="3"/>
    <col min="13360" max="13360" width="6.4140625" style="2"/>
    <col min="13361" max="13361" width="6.4140625" style="3"/>
    <col min="13362" max="13363" width="6.4140625" style="2"/>
    <col min="13364" max="13364" width="6.4140625" style="1"/>
    <col min="13365" max="13365" width="6.4140625" style="2"/>
    <col min="13366" max="13366" width="6.4140625" style="3"/>
    <col min="13367" max="13367" width="6.4140625" style="2"/>
    <col min="13368" max="13368" width="6.4140625" style="3"/>
    <col min="13369" max="13370" width="6.4140625" style="2"/>
    <col min="13371" max="13371" width="6.4140625" style="1"/>
    <col min="13372" max="13372" width="6.4140625" style="2"/>
    <col min="13373" max="13373" width="6.4140625" style="3"/>
    <col min="13374" max="13374" width="6.4140625" style="2"/>
    <col min="13375" max="13375" width="6.4140625" style="3"/>
    <col min="13376" max="13377" width="6.4140625" style="2"/>
    <col min="13378" max="13378" width="6.4140625" style="1"/>
    <col min="13379" max="13379" width="6.4140625" style="2"/>
    <col min="13380" max="13380" width="6.4140625" style="3"/>
    <col min="13381" max="13381" width="6.4140625" style="2"/>
    <col min="13382" max="13382" width="6.4140625" style="3"/>
    <col min="13383" max="13384" width="6.4140625" style="2"/>
    <col min="13385" max="13385" width="6.4140625" style="1"/>
    <col min="13386" max="13386" width="6.4140625" style="2"/>
    <col min="13387" max="13387" width="6.4140625" style="3"/>
    <col min="13388" max="13388" width="6.4140625" style="2"/>
    <col min="13389" max="13389" width="6.4140625" style="3"/>
    <col min="13390" max="13391" width="6.4140625" style="2"/>
    <col min="13392" max="13392" width="6.4140625" style="1"/>
    <col min="13393" max="13393" width="6.4140625" style="2"/>
    <col min="13394" max="13394" width="6.4140625" style="3"/>
    <col min="13395" max="13395" width="6.4140625" style="2"/>
    <col min="13396" max="13396" width="6.4140625" style="3"/>
    <col min="13397" max="13398" width="6.4140625" style="2"/>
    <col min="13399" max="13399" width="6.4140625" style="1"/>
    <col min="13400" max="13400" width="6.4140625" style="2"/>
    <col min="13401" max="13401" width="6.4140625" style="3"/>
    <col min="13402" max="13402" width="6.4140625" style="2"/>
    <col min="13403" max="13403" width="6.4140625" style="3"/>
    <col min="13404" max="13405" width="6.4140625" style="2"/>
    <col min="13406" max="13406" width="6.4140625" style="1"/>
    <col min="13407" max="13407" width="6.4140625" style="2"/>
    <col min="13408" max="13408" width="6.4140625" style="3"/>
    <col min="13409" max="13409" width="6.4140625" style="2"/>
    <col min="13410" max="13410" width="6.4140625" style="3"/>
    <col min="13411" max="13412" width="6.4140625" style="2"/>
    <col min="13413" max="13413" width="6.4140625" style="1"/>
    <col min="13414" max="13414" width="6.4140625" style="2"/>
    <col min="13415" max="13415" width="6.4140625" style="3"/>
    <col min="13416" max="13416" width="6.4140625" style="2"/>
    <col min="13417" max="13417" width="6.4140625" style="3"/>
    <col min="13418" max="13419" width="6.4140625" style="2"/>
    <col min="13420" max="13420" width="6.4140625" style="1"/>
    <col min="13421" max="13421" width="6.4140625" style="2"/>
    <col min="13422" max="13422" width="6.4140625" style="3"/>
    <col min="13423" max="13423" width="6.4140625" style="2"/>
    <col min="13424" max="13424" width="6.4140625" style="3"/>
    <col min="13425" max="13426" width="6.4140625" style="2"/>
    <col min="13427" max="13427" width="6.4140625" style="1"/>
    <col min="13428" max="13428" width="6.4140625" style="2"/>
    <col min="13429" max="13429" width="6.4140625" style="3"/>
    <col min="13430" max="13430" width="6.4140625" style="2"/>
    <col min="13431" max="13431" width="6.4140625" style="3"/>
    <col min="13432" max="13433" width="6.4140625" style="2"/>
    <col min="13434" max="13434" width="6.4140625" style="1"/>
    <col min="13435" max="13435" width="6.4140625" style="2"/>
    <col min="13436" max="13436" width="6.4140625" style="3"/>
    <col min="13437" max="13437" width="6.4140625" style="2"/>
    <col min="13438" max="13438" width="6.4140625" style="3"/>
    <col min="13439" max="13440" width="6.4140625" style="2"/>
    <col min="13441" max="13441" width="6.4140625" style="1"/>
    <col min="13442" max="13442" width="6.4140625" style="2"/>
    <col min="13443" max="13443" width="6.4140625" style="3"/>
    <col min="13444" max="13444" width="6.4140625" style="2"/>
    <col min="13445" max="13445" width="6.4140625" style="3"/>
    <col min="13446" max="13447" width="6.4140625" style="2"/>
    <col min="13448" max="13448" width="6.4140625" style="1"/>
    <col min="13449" max="13449" width="6.4140625" style="2"/>
    <col min="13450" max="13450" width="6.4140625" style="3"/>
    <col min="13451" max="13451" width="6.4140625" style="2"/>
    <col min="13452" max="13452" width="6.4140625" style="3"/>
    <col min="13453" max="13454" width="6.4140625" style="2"/>
    <col min="13455" max="13455" width="6.4140625" style="1"/>
    <col min="13456" max="13456" width="6.4140625" style="2"/>
    <col min="13457" max="13457" width="6.4140625" style="3"/>
    <col min="13458" max="13458" width="6.4140625" style="2"/>
    <col min="13459" max="13459" width="6.4140625" style="3"/>
    <col min="13460" max="13461" width="6.4140625" style="2"/>
    <col min="13462" max="13462" width="6.4140625" style="1"/>
    <col min="13463" max="13463" width="6.4140625" style="2"/>
    <col min="13464" max="13464" width="6.4140625" style="3"/>
    <col min="13465" max="13465" width="6.4140625" style="2"/>
    <col min="13466" max="13466" width="6.4140625" style="3"/>
    <col min="13467" max="13468" width="6.4140625" style="2"/>
    <col min="13469" max="13469" width="6.4140625" style="1"/>
    <col min="13470" max="13470" width="6.4140625" style="2"/>
    <col min="13471" max="13471" width="6.4140625" style="3"/>
    <col min="13472" max="13472" width="6.4140625" style="2"/>
    <col min="13473" max="13473" width="6.4140625" style="3"/>
    <col min="13474" max="13475" width="6.4140625" style="2"/>
    <col min="13476" max="13476" width="6.4140625" style="1"/>
    <col min="13477" max="13477" width="6.4140625" style="2"/>
    <col min="13478" max="13478" width="6.4140625" style="3"/>
    <col min="13479" max="13479" width="6.4140625" style="2"/>
    <col min="13480" max="13480" width="6.4140625" style="3"/>
    <col min="13481" max="13482" width="6.4140625" style="2"/>
    <col min="13483" max="13483" width="6.4140625" style="1"/>
    <col min="13484" max="13484" width="6.4140625" style="2"/>
    <col min="13485" max="13485" width="6.4140625" style="3"/>
    <col min="13486" max="13486" width="6.4140625" style="2"/>
    <col min="13487" max="13487" width="6.4140625" style="3"/>
    <col min="13488" max="13489" width="6.4140625" style="2"/>
    <col min="13490" max="13490" width="6.4140625" style="1"/>
    <col min="13491" max="13491" width="6.4140625" style="2"/>
    <col min="13492" max="13492" width="6.4140625" style="3"/>
    <col min="13493" max="13493" width="6.4140625" style="2"/>
    <col min="13494" max="13494" width="6.4140625" style="3"/>
    <col min="13495" max="13496" width="6.4140625" style="2"/>
    <col min="13497" max="13497" width="6.4140625" style="1"/>
    <col min="13498" max="13498" width="6.4140625" style="2"/>
    <col min="13499" max="13499" width="6.4140625" style="3"/>
    <col min="13500" max="13500" width="6.4140625" style="2"/>
    <col min="13501" max="13501" width="6.4140625" style="3"/>
    <col min="13502" max="13503" width="6.4140625" style="2"/>
    <col min="13504" max="13504" width="6.4140625" style="1"/>
    <col min="13505" max="13505" width="6.4140625" style="2"/>
    <col min="13506" max="13506" width="6.4140625" style="3"/>
    <col min="13507" max="13507" width="6.4140625" style="2"/>
    <col min="13508" max="13508" width="6.4140625" style="3"/>
    <col min="13509" max="13510" width="6.4140625" style="2"/>
    <col min="13511" max="13511" width="6.4140625" style="1"/>
    <col min="13512" max="13512" width="6.4140625" style="2"/>
    <col min="13513" max="13513" width="6.4140625" style="3"/>
    <col min="13514" max="13514" width="6.4140625" style="2"/>
    <col min="13515" max="13515" width="6.4140625" style="3"/>
    <col min="13516" max="13517" width="6.4140625" style="2"/>
    <col min="13518" max="13518" width="6.4140625" style="1"/>
    <col min="13519" max="13519" width="6.4140625" style="2"/>
    <col min="13520" max="13520" width="6.4140625" style="3"/>
    <col min="13521" max="13521" width="6.4140625" style="2"/>
    <col min="13522" max="13522" width="6.4140625" style="3"/>
    <col min="13523" max="13524" width="6.4140625" style="2"/>
    <col min="13525" max="13525" width="6.4140625" style="1"/>
    <col min="13526" max="13526" width="6.4140625" style="2"/>
    <col min="13527" max="13527" width="6.4140625" style="3"/>
    <col min="13528" max="13528" width="6.4140625" style="2"/>
    <col min="13529" max="13529" width="6.4140625" style="3"/>
    <col min="13530" max="13531" width="6.4140625" style="2"/>
    <col min="13532" max="13532" width="6.4140625" style="1"/>
    <col min="13533" max="13533" width="6.4140625" style="2"/>
    <col min="13534" max="13534" width="6.4140625" style="3"/>
    <col min="13535" max="13535" width="6.4140625" style="2"/>
    <col min="13536" max="13536" width="6.4140625" style="3"/>
    <col min="13537" max="13538" width="6.4140625" style="2"/>
    <col min="13539" max="13539" width="6.4140625" style="1"/>
    <col min="13540" max="13540" width="6.4140625" style="2"/>
    <col min="13541" max="13541" width="6.4140625" style="3"/>
    <col min="13542" max="13542" width="6.4140625" style="2"/>
    <col min="13543" max="13543" width="6.4140625" style="3"/>
    <col min="13544" max="13545" width="6.4140625" style="2"/>
    <col min="13546" max="13546" width="6.4140625" style="1"/>
    <col min="13547" max="13547" width="6.4140625" style="2"/>
    <col min="13548" max="13548" width="6.4140625" style="3"/>
    <col min="13549" max="13549" width="6.4140625" style="2"/>
    <col min="13550" max="13550" width="6.4140625" style="3"/>
    <col min="13551" max="13552" width="6.4140625" style="2"/>
    <col min="13553" max="13553" width="6.4140625" style="1"/>
    <col min="13554" max="13554" width="6.4140625" style="2"/>
    <col min="13555" max="13555" width="6.4140625" style="3"/>
    <col min="13556" max="13556" width="6.4140625" style="2"/>
    <col min="13557" max="13557" width="6.4140625" style="3"/>
    <col min="13558" max="13559" width="6.4140625" style="2"/>
    <col min="13560" max="13560" width="6.4140625" style="1"/>
    <col min="13561" max="13561" width="6.4140625" style="2"/>
    <col min="13562" max="13562" width="6.4140625" style="3"/>
    <col min="13563" max="13563" width="6.4140625" style="2"/>
    <col min="13564" max="13564" width="6.4140625" style="3"/>
    <col min="13565" max="13566" width="6.4140625" style="2"/>
    <col min="13567" max="13567" width="6.4140625" style="1"/>
    <col min="13568" max="13568" width="6.4140625" style="2"/>
    <col min="13569" max="13569" width="6.4140625" style="3"/>
    <col min="13570" max="13570" width="6.4140625" style="2"/>
    <col min="13571" max="13571" width="6.4140625" style="3"/>
    <col min="13572" max="13573" width="6.4140625" style="2"/>
    <col min="13574" max="13574" width="6.4140625" style="1"/>
    <col min="13575" max="13575" width="6.4140625" style="2"/>
    <col min="13576" max="13576" width="6.4140625" style="3"/>
    <col min="13577" max="13577" width="6.4140625" style="2"/>
    <col min="13578" max="13578" width="6.4140625" style="3"/>
    <col min="13579" max="13580" width="6.4140625" style="2"/>
    <col min="13581" max="13581" width="6.4140625" style="1"/>
    <col min="13582" max="13582" width="6.4140625" style="2"/>
    <col min="13583" max="13583" width="6.4140625" style="3"/>
    <col min="13584" max="13584" width="6.4140625" style="2"/>
    <col min="13585" max="13585" width="6.4140625" style="3"/>
    <col min="13586" max="13587" width="6.4140625" style="2"/>
    <col min="13588" max="13588" width="6.4140625" style="1"/>
    <col min="13589" max="13589" width="6.4140625" style="2"/>
    <col min="13590" max="13590" width="6.4140625" style="3"/>
    <col min="13591" max="13591" width="6.4140625" style="2"/>
    <col min="13592" max="13592" width="6.4140625" style="3"/>
    <col min="13593" max="13594" width="6.4140625" style="2"/>
    <col min="13595" max="13595" width="6.4140625" style="1"/>
    <col min="13596" max="13596" width="6.4140625" style="2"/>
    <col min="13597" max="13597" width="6.4140625" style="3"/>
    <col min="13598" max="13598" width="6.4140625" style="2"/>
    <col min="13599" max="13599" width="6.4140625" style="3"/>
    <col min="13600" max="13601" width="6.4140625" style="2"/>
    <col min="13602" max="13602" width="6.4140625" style="1"/>
    <col min="13603" max="13603" width="6.4140625" style="2"/>
    <col min="13604" max="13604" width="6.4140625" style="3"/>
    <col min="13605" max="13605" width="6.4140625" style="2"/>
    <col min="13606" max="13606" width="6.4140625" style="3"/>
    <col min="13607" max="13608" width="6.4140625" style="2"/>
    <col min="13609" max="13609" width="6.4140625" style="1"/>
    <col min="13610" max="13610" width="6.4140625" style="2"/>
    <col min="13611" max="13611" width="6.4140625" style="3"/>
    <col min="13612" max="13612" width="6.4140625" style="2"/>
    <col min="13613" max="13613" width="6.4140625" style="3"/>
    <col min="13614" max="13615" width="6.4140625" style="2"/>
    <col min="13616" max="13616" width="6.4140625" style="1"/>
    <col min="13617" max="13617" width="6.4140625" style="2"/>
    <col min="13618" max="13618" width="6.4140625" style="3"/>
    <col min="13619" max="13619" width="6.4140625" style="2"/>
    <col min="13620" max="13620" width="6.4140625" style="3"/>
    <col min="13621" max="13622" width="6.4140625" style="2"/>
    <col min="13623" max="13623" width="6.4140625" style="1"/>
    <col min="13624" max="13624" width="6.4140625" style="2"/>
    <col min="13625" max="13625" width="6.4140625" style="3"/>
    <col min="13626" max="13626" width="6.4140625" style="2"/>
    <col min="13627" max="13627" width="6.4140625" style="3"/>
    <col min="13628" max="13629" width="6.4140625" style="2"/>
    <col min="13630" max="13630" width="6.4140625" style="1"/>
    <col min="13631" max="13631" width="6.4140625" style="2"/>
    <col min="13632" max="13632" width="6.4140625" style="3"/>
    <col min="13633" max="13633" width="6.4140625" style="2"/>
    <col min="13634" max="13634" width="6.4140625" style="3"/>
    <col min="13635" max="13636" width="6.4140625" style="2"/>
    <col min="13637" max="13637" width="6.4140625" style="1"/>
    <col min="13638" max="13638" width="6.4140625" style="2"/>
    <col min="13639" max="13639" width="6.4140625" style="3"/>
    <col min="13640" max="13640" width="6.4140625" style="2"/>
    <col min="13641" max="13641" width="6.4140625" style="3"/>
    <col min="13642" max="13643" width="6.4140625" style="2"/>
    <col min="13644" max="13644" width="6.4140625" style="1"/>
    <col min="13645" max="13645" width="6.4140625" style="2"/>
    <col min="13646" max="13646" width="6.4140625" style="3"/>
    <col min="13647" max="13647" width="6.4140625" style="2"/>
    <col min="13648" max="13648" width="6.4140625" style="3"/>
    <col min="13649" max="13650" width="6.4140625" style="2"/>
    <col min="13651" max="13651" width="6.4140625" style="1"/>
    <col min="13652" max="13652" width="6.4140625" style="2"/>
    <col min="13653" max="13653" width="6.4140625" style="3"/>
    <col min="13654" max="13654" width="6.4140625" style="2"/>
    <col min="13655" max="13655" width="6.4140625" style="3"/>
    <col min="13656" max="13657" width="6.4140625" style="2"/>
    <col min="13658" max="13658" width="6.4140625" style="1"/>
    <col min="13659" max="13659" width="6.4140625" style="2"/>
    <col min="13660" max="13660" width="6.4140625" style="3"/>
    <col min="13661" max="13661" width="6.4140625" style="2"/>
    <col min="13662" max="13662" width="6.4140625" style="3"/>
    <col min="13663" max="13664" width="6.4140625" style="2"/>
    <col min="13665" max="13665" width="6.4140625" style="1"/>
    <col min="13666" max="13666" width="6.4140625" style="2"/>
    <col min="13667" max="13667" width="6.4140625" style="3"/>
    <col min="13668" max="13668" width="6.4140625" style="2"/>
    <col min="13669" max="13669" width="6.4140625" style="3"/>
    <col min="13670" max="13671" width="6.4140625" style="2"/>
    <col min="13672" max="13672" width="6.4140625" style="1"/>
    <col min="13673" max="13673" width="6.4140625" style="2"/>
    <col min="13674" max="13674" width="6.4140625" style="3"/>
    <col min="13675" max="13675" width="6.4140625" style="2"/>
    <col min="13676" max="13676" width="6.4140625" style="3"/>
    <col min="13677" max="13678" width="6.4140625" style="2"/>
    <col min="13679" max="13679" width="6.4140625" style="1"/>
    <col min="13680" max="13680" width="6.4140625" style="2"/>
    <col min="13681" max="13681" width="6.4140625" style="3"/>
    <col min="13682" max="13682" width="6.4140625" style="2"/>
    <col min="13683" max="13683" width="6.4140625" style="3"/>
    <col min="13684" max="13685" width="6.4140625" style="2"/>
    <col min="13686" max="13686" width="6.4140625" style="1"/>
    <col min="13687" max="13687" width="6.4140625" style="2"/>
    <col min="13688" max="13688" width="6.4140625" style="3"/>
    <col min="13689" max="13689" width="6.4140625" style="2"/>
    <col min="13690" max="13690" width="6.4140625" style="3"/>
    <col min="13691" max="13692" width="6.4140625" style="2"/>
    <col min="13693" max="13693" width="6.4140625" style="1"/>
    <col min="13694" max="13694" width="6.4140625" style="2"/>
    <col min="13695" max="13695" width="6.4140625" style="3"/>
    <col min="13696" max="13696" width="6.4140625" style="2"/>
    <col min="13697" max="13697" width="6.4140625" style="3"/>
    <col min="13698" max="13699" width="6.4140625" style="2"/>
    <col min="13700" max="13700" width="6.4140625" style="1"/>
    <col min="13701" max="13701" width="6.4140625" style="2"/>
    <col min="13702" max="13702" width="6.4140625" style="3"/>
    <col min="13703" max="13703" width="6.4140625" style="2"/>
    <col min="13704" max="13704" width="6.4140625" style="3"/>
    <col min="13705" max="13706" width="6.4140625" style="2"/>
    <col min="13707" max="13707" width="6.4140625" style="1"/>
    <col min="13708" max="13708" width="6.4140625" style="2"/>
    <col min="13709" max="13709" width="6.4140625" style="3"/>
    <col min="13710" max="13710" width="6.4140625" style="2"/>
    <col min="13711" max="13711" width="6.4140625" style="3"/>
    <col min="13712" max="13713" width="6.4140625" style="2"/>
    <col min="13714" max="13714" width="6.4140625" style="1"/>
    <col min="13715" max="13715" width="6.4140625" style="2"/>
    <col min="13716" max="13716" width="6.4140625" style="3"/>
    <col min="13717" max="13717" width="6.4140625" style="2"/>
    <col min="13718" max="13718" width="6.4140625" style="3"/>
    <col min="13719" max="13720" width="6.4140625" style="2"/>
    <col min="13721" max="13721" width="6.4140625" style="1"/>
    <col min="13722" max="13722" width="6.4140625" style="2"/>
    <col min="13723" max="13723" width="6.4140625" style="3"/>
    <col min="13724" max="13724" width="6.4140625" style="2"/>
    <col min="13725" max="13725" width="6.4140625" style="3"/>
    <col min="13726" max="13727" width="6.4140625" style="2"/>
    <col min="13728" max="13728" width="6.4140625" style="1"/>
    <col min="13729" max="13729" width="6.4140625" style="2"/>
    <col min="13730" max="13730" width="6.4140625" style="3"/>
    <col min="13731" max="13731" width="6.4140625" style="2"/>
    <col min="13732" max="13732" width="6.4140625" style="3"/>
    <col min="13733" max="13734" width="6.4140625" style="2"/>
    <col min="13735" max="13735" width="6.4140625" style="1"/>
    <col min="13736" max="13736" width="6.4140625" style="2"/>
    <col min="13737" max="13737" width="6.4140625" style="3"/>
    <col min="13738" max="13738" width="6.4140625" style="2"/>
    <col min="13739" max="13739" width="6.4140625" style="3"/>
    <col min="13740" max="13741" width="6.4140625" style="2"/>
    <col min="13742" max="13742" width="6.4140625" style="1"/>
    <col min="13743" max="13743" width="6.4140625" style="2"/>
    <col min="13744" max="13744" width="6.4140625" style="3"/>
    <col min="13745" max="13745" width="6.4140625" style="2"/>
    <col min="13746" max="13746" width="6.4140625" style="3"/>
    <col min="13747" max="13748" width="6.4140625" style="2"/>
    <col min="13749" max="13749" width="6.4140625" style="1"/>
    <col min="13750" max="13750" width="6.4140625" style="2"/>
    <col min="13751" max="13751" width="6.4140625" style="3"/>
    <col min="13752" max="13752" width="6.4140625" style="2"/>
    <col min="13753" max="13753" width="6.4140625" style="3"/>
    <col min="13754" max="13755" width="6.4140625" style="2"/>
    <col min="13756" max="13756" width="6.4140625" style="1"/>
    <col min="13757" max="13757" width="6.4140625" style="2"/>
    <col min="13758" max="13758" width="6.4140625" style="3"/>
    <col min="13759" max="13759" width="6.4140625" style="2"/>
    <col min="13760" max="13760" width="6.4140625" style="3"/>
    <col min="13761" max="13762" width="6.4140625" style="2"/>
    <col min="13763" max="13763" width="6.4140625" style="1"/>
    <col min="13764" max="13764" width="6.4140625" style="2"/>
    <col min="13765" max="13765" width="6.4140625" style="3"/>
    <col min="13766" max="13766" width="6.4140625" style="2"/>
    <col min="13767" max="13767" width="6.4140625" style="3"/>
    <col min="13768" max="13769" width="6.4140625" style="2"/>
    <col min="13770" max="13770" width="6.4140625" style="1"/>
    <col min="13771" max="13771" width="6.4140625" style="2"/>
    <col min="13772" max="13772" width="6.4140625" style="3"/>
    <col min="13773" max="13773" width="6.4140625" style="2"/>
    <col min="13774" max="13774" width="6.4140625" style="3"/>
    <col min="13775" max="13776" width="6.4140625" style="2"/>
    <col min="13777" max="13777" width="6.4140625" style="1"/>
    <col min="13778" max="13778" width="6.4140625" style="2"/>
    <col min="13779" max="13779" width="6.4140625" style="3"/>
    <col min="13780" max="13780" width="6.4140625" style="2"/>
    <col min="13781" max="13781" width="6.4140625" style="3"/>
    <col min="13782" max="13783" width="6.4140625" style="2"/>
    <col min="13784" max="13784" width="6.4140625" style="1"/>
    <col min="13785" max="13785" width="6.4140625" style="2"/>
    <col min="13786" max="13786" width="6.4140625" style="3"/>
    <col min="13787" max="13787" width="6.4140625" style="2"/>
    <col min="13788" max="13788" width="6.4140625" style="3"/>
    <col min="13789" max="13790" width="6.4140625" style="2"/>
    <col min="13791" max="13791" width="6.4140625" style="1"/>
    <col min="13792" max="13792" width="6.4140625" style="2"/>
    <col min="13793" max="13793" width="6.4140625" style="3"/>
    <col min="13794" max="13794" width="6.4140625" style="2"/>
    <col min="13795" max="13795" width="6.4140625" style="3"/>
    <col min="13796" max="13797" width="6.4140625" style="2"/>
    <col min="13798" max="13798" width="6.4140625" style="1"/>
    <col min="13799" max="13799" width="6.4140625" style="2"/>
    <col min="13800" max="13800" width="6.4140625" style="3"/>
    <col min="13801" max="13801" width="6.4140625" style="2"/>
    <col min="13802" max="13802" width="6.4140625" style="3"/>
    <col min="13803" max="13804" width="6.4140625" style="2"/>
    <col min="13805" max="13805" width="6.4140625" style="1"/>
    <col min="13806" max="13806" width="6.4140625" style="2"/>
    <col min="13807" max="13807" width="6.4140625" style="3"/>
    <col min="13808" max="13808" width="6.4140625" style="2"/>
    <col min="13809" max="13809" width="6.4140625" style="3"/>
    <col min="13810" max="13811" width="6.4140625" style="2"/>
    <col min="13812" max="13812" width="6.4140625" style="1"/>
    <col min="13813" max="13813" width="6.4140625" style="2"/>
    <col min="13814" max="13814" width="6.4140625" style="3"/>
    <col min="13815" max="13815" width="6.4140625" style="2"/>
    <col min="13816" max="13816" width="6.4140625" style="3"/>
    <col min="13817" max="13818" width="6.4140625" style="2"/>
    <col min="13819" max="13819" width="6.4140625" style="1"/>
    <col min="13820" max="13820" width="6.4140625" style="2"/>
    <col min="13821" max="13821" width="6.4140625" style="3"/>
    <col min="13822" max="13822" width="6.4140625" style="2"/>
    <col min="13823" max="13823" width="6.4140625" style="3"/>
    <col min="13824" max="13825" width="6.4140625" style="2"/>
    <col min="13826" max="13826" width="6.4140625" style="1"/>
    <col min="13827" max="13827" width="6.4140625" style="2"/>
    <col min="13828" max="13828" width="6.4140625" style="3"/>
    <col min="13829" max="13829" width="6.4140625" style="2"/>
    <col min="13830" max="13830" width="6.4140625" style="3"/>
    <col min="13831" max="13832" width="6.4140625" style="2"/>
    <col min="13833" max="13833" width="6.4140625" style="1"/>
    <col min="13834" max="13834" width="6.4140625" style="2"/>
    <col min="13835" max="13835" width="6.4140625" style="3"/>
    <col min="13836" max="13836" width="6.4140625" style="2"/>
    <col min="13837" max="13837" width="6.4140625" style="3"/>
    <col min="13838" max="13839" width="6.4140625" style="2"/>
    <col min="13840" max="13840" width="6.4140625" style="1"/>
    <col min="13841" max="13841" width="6.4140625" style="2"/>
    <col min="13842" max="13842" width="6.4140625" style="3"/>
    <col min="13843" max="13843" width="6.4140625" style="2"/>
    <col min="13844" max="13844" width="6.4140625" style="3"/>
    <col min="13845" max="13846" width="6.4140625" style="2"/>
    <col min="13847" max="13847" width="6.4140625" style="1"/>
    <col min="13848" max="13848" width="6.4140625" style="2"/>
    <col min="13849" max="13849" width="6.4140625" style="3"/>
    <col min="13850" max="13850" width="6.4140625" style="2"/>
    <col min="13851" max="13851" width="6.4140625" style="3"/>
    <col min="13852" max="13853" width="6.4140625" style="2"/>
    <col min="13854" max="13854" width="6.4140625" style="1"/>
    <col min="13855" max="13855" width="6.4140625" style="2"/>
    <col min="13856" max="13856" width="6.4140625" style="3"/>
    <col min="13857" max="13857" width="6.4140625" style="2"/>
    <col min="13858" max="13858" width="6.4140625" style="3"/>
    <col min="13859" max="13860" width="6.4140625" style="2"/>
    <col min="13861" max="13861" width="6.4140625" style="1"/>
    <col min="13862" max="13862" width="6.4140625" style="2"/>
    <col min="13863" max="13863" width="6.4140625" style="3"/>
    <col min="13864" max="13864" width="6.4140625" style="2"/>
    <col min="13865" max="13865" width="6.4140625" style="3"/>
    <col min="13866" max="13867" width="6.4140625" style="2"/>
    <col min="13868" max="13868" width="6.4140625" style="1"/>
    <col min="13869" max="13869" width="6.4140625" style="2"/>
    <col min="13870" max="13870" width="6.4140625" style="3"/>
    <col min="13871" max="13871" width="6.4140625" style="2"/>
    <col min="13872" max="13872" width="6.4140625" style="3"/>
    <col min="13873" max="13874" width="6.4140625" style="2"/>
    <col min="13875" max="13875" width="6.4140625" style="1"/>
    <col min="13876" max="13876" width="6.4140625" style="2"/>
    <col min="13877" max="13877" width="6.4140625" style="3"/>
    <col min="13878" max="13878" width="6.4140625" style="2"/>
    <col min="13879" max="13879" width="6.4140625" style="3"/>
    <col min="13880" max="13881" width="6.4140625" style="2"/>
    <col min="13882" max="13882" width="6.4140625" style="1"/>
    <col min="13883" max="13883" width="6.4140625" style="2"/>
    <col min="13884" max="13884" width="6.4140625" style="3"/>
    <col min="13885" max="13885" width="6.4140625" style="2"/>
    <col min="13886" max="13886" width="6.4140625" style="3"/>
    <col min="13887" max="13888" width="6.4140625" style="2"/>
    <col min="13889" max="13889" width="6.4140625" style="1"/>
    <col min="13890" max="13890" width="6.4140625" style="2"/>
    <col min="13891" max="13891" width="6.4140625" style="3"/>
    <col min="13892" max="13892" width="6.4140625" style="2"/>
    <col min="13893" max="13893" width="6.4140625" style="3"/>
    <col min="13894" max="13895" width="6.4140625" style="2"/>
    <col min="13896" max="13896" width="6.4140625" style="1"/>
    <col min="13897" max="13897" width="6.4140625" style="2"/>
    <col min="13898" max="13898" width="6.4140625" style="3"/>
    <col min="13899" max="13899" width="6.4140625" style="2"/>
    <col min="13900" max="13900" width="6.4140625" style="3"/>
    <col min="13901" max="13902" width="6.4140625" style="2"/>
    <col min="13903" max="13903" width="6.4140625" style="1"/>
    <col min="13904" max="13904" width="6.4140625" style="2"/>
    <col min="13905" max="13905" width="6.4140625" style="3"/>
    <col min="13906" max="13906" width="6.4140625" style="2"/>
    <col min="13907" max="13907" width="6.4140625" style="3"/>
    <col min="13908" max="13909" width="6.4140625" style="2"/>
    <col min="13910" max="13910" width="6.4140625" style="1"/>
    <col min="13911" max="13911" width="6.4140625" style="2"/>
    <col min="13912" max="13912" width="6.4140625" style="3"/>
    <col min="13913" max="13913" width="6.4140625" style="2"/>
    <col min="13914" max="13914" width="6.4140625" style="3"/>
    <col min="13915" max="13916" width="6.4140625" style="2"/>
    <col min="13917" max="13917" width="6.4140625" style="1"/>
    <col min="13918" max="13918" width="6.4140625" style="2"/>
    <col min="13919" max="13919" width="6.4140625" style="3"/>
    <col min="13920" max="13920" width="6.4140625" style="2"/>
    <col min="13921" max="13921" width="6.4140625" style="3"/>
    <col min="13922" max="13923" width="6.4140625" style="2"/>
    <col min="13924" max="13924" width="6.4140625" style="1"/>
    <col min="13925" max="13925" width="6.4140625" style="2"/>
    <col min="13926" max="13926" width="6.4140625" style="3"/>
    <col min="13927" max="13927" width="6.4140625" style="2"/>
    <col min="13928" max="13928" width="6.4140625" style="3"/>
    <col min="13929" max="13930" width="6.4140625" style="2"/>
    <col min="13931" max="13931" width="6.4140625" style="1"/>
    <col min="13932" max="13932" width="6.4140625" style="2"/>
    <col min="13933" max="13933" width="6.4140625" style="3"/>
    <col min="13934" max="13934" width="6.4140625" style="2"/>
    <col min="13935" max="13935" width="6.4140625" style="3"/>
    <col min="13936" max="13937" width="6.4140625" style="2"/>
    <col min="13938" max="13938" width="6.4140625" style="1"/>
    <col min="13939" max="13939" width="6.4140625" style="2"/>
    <col min="13940" max="13940" width="6.4140625" style="3"/>
    <col min="13941" max="13941" width="6.4140625" style="2"/>
    <col min="13942" max="13942" width="6.4140625" style="3"/>
    <col min="13943" max="13944" width="6.4140625" style="2"/>
    <col min="13945" max="13945" width="6.4140625" style="1"/>
    <col min="13946" max="13946" width="6.4140625" style="2"/>
    <col min="13947" max="13947" width="6.4140625" style="3"/>
    <col min="13948" max="13948" width="6.4140625" style="2"/>
    <col min="13949" max="13949" width="6.4140625" style="3"/>
    <col min="13950" max="13951" width="6.4140625" style="2"/>
    <col min="13952" max="13952" width="6.4140625" style="1"/>
    <col min="13953" max="13953" width="6.4140625" style="2"/>
    <col min="13954" max="13954" width="6.4140625" style="3"/>
    <col min="13955" max="13955" width="6.4140625" style="2"/>
    <col min="13956" max="13956" width="6.4140625" style="3"/>
    <col min="13957" max="13958" width="6.4140625" style="2"/>
    <col min="13959" max="13959" width="6.4140625" style="1"/>
    <col min="13960" max="13960" width="6.4140625" style="2"/>
    <col min="13961" max="13961" width="6.4140625" style="3"/>
    <col min="13962" max="13962" width="6.4140625" style="2"/>
    <col min="13963" max="13963" width="6.4140625" style="3"/>
    <col min="13964" max="13965" width="6.4140625" style="2"/>
    <col min="13966" max="13966" width="6.4140625" style="1"/>
    <col min="13967" max="13967" width="6.4140625" style="2"/>
    <col min="13968" max="13968" width="6.4140625" style="3"/>
    <col min="13969" max="13969" width="6.4140625" style="2"/>
    <col min="13970" max="13970" width="6.4140625" style="3"/>
    <col min="13971" max="13972" width="6.4140625" style="2"/>
    <col min="13973" max="13973" width="6.4140625" style="1"/>
    <col min="13974" max="13974" width="6.4140625" style="2"/>
    <col min="13975" max="13975" width="6.4140625" style="3"/>
    <col min="13976" max="13976" width="6.4140625" style="2"/>
    <col min="13977" max="13977" width="6.4140625" style="3"/>
    <col min="13978" max="13979" width="6.4140625" style="2"/>
    <col min="13980" max="13980" width="6.4140625" style="1"/>
    <col min="13981" max="13981" width="6.4140625" style="2"/>
    <col min="13982" max="13982" width="6.4140625" style="3"/>
    <col min="13983" max="13983" width="6.4140625" style="2"/>
    <col min="13984" max="13984" width="6.4140625" style="3"/>
    <col min="13985" max="13986" width="6.4140625" style="2"/>
    <col min="13987" max="13987" width="6.4140625" style="1"/>
    <col min="13988" max="13988" width="6.4140625" style="2"/>
    <col min="13989" max="13989" width="6.4140625" style="3"/>
    <col min="13990" max="13990" width="6.4140625" style="2"/>
    <col min="13991" max="13991" width="6.4140625" style="3"/>
    <col min="13992" max="13993" width="6.4140625" style="2"/>
    <col min="13994" max="13994" width="6.4140625" style="1"/>
    <col min="13995" max="13995" width="6.4140625" style="2"/>
    <col min="13996" max="13996" width="6.4140625" style="3"/>
    <col min="13997" max="13997" width="6.4140625" style="2"/>
    <col min="13998" max="13998" width="6.4140625" style="3"/>
    <col min="13999" max="14000" width="6.4140625" style="2"/>
    <col min="14001" max="14001" width="6.4140625" style="1"/>
    <col min="14002" max="14002" width="6.4140625" style="2"/>
    <col min="14003" max="14003" width="6.4140625" style="3"/>
    <col min="14004" max="14004" width="6.4140625" style="2"/>
    <col min="14005" max="14005" width="6.4140625" style="3"/>
    <col min="14006" max="14007" width="6.4140625" style="2"/>
    <col min="14008" max="14008" width="6.4140625" style="1"/>
    <col min="14009" max="14009" width="6.4140625" style="2"/>
    <col min="14010" max="14010" width="6.4140625" style="3"/>
    <col min="14011" max="14011" width="6.4140625" style="2"/>
    <col min="14012" max="14012" width="6.4140625" style="3"/>
    <col min="14013" max="14014" width="6.4140625" style="2"/>
    <col min="14015" max="14015" width="6.4140625" style="1"/>
    <col min="14016" max="14016" width="6.4140625" style="2"/>
    <col min="14017" max="14017" width="6.4140625" style="3"/>
    <col min="14018" max="14018" width="6.4140625" style="2"/>
    <col min="14019" max="14019" width="6.4140625" style="3"/>
    <col min="14020" max="14021" width="6.4140625" style="2"/>
    <col min="14022" max="14022" width="6.4140625" style="1"/>
    <col min="14023" max="14023" width="6.4140625" style="2"/>
    <col min="14024" max="14024" width="6.4140625" style="3"/>
    <col min="14025" max="14025" width="6.4140625" style="2"/>
    <col min="14026" max="14026" width="6.4140625" style="3"/>
    <col min="14027" max="14028" width="6.4140625" style="2"/>
    <col min="14029" max="14029" width="6.4140625" style="1"/>
    <col min="14030" max="14030" width="6.4140625" style="2"/>
    <col min="14031" max="14031" width="6.4140625" style="3"/>
    <col min="14032" max="14032" width="6.4140625" style="2"/>
    <col min="14033" max="14033" width="6.4140625" style="3"/>
    <col min="14034" max="14035" width="6.4140625" style="2"/>
    <col min="14036" max="14036" width="6.4140625" style="1"/>
    <col min="14037" max="14037" width="6.4140625" style="2"/>
    <col min="14038" max="14038" width="6.4140625" style="3"/>
    <col min="14039" max="14039" width="6.4140625" style="2"/>
    <col min="14040" max="14040" width="6.4140625" style="3"/>
    <col min="14041" max="14042" width="6.4140625" style="2"/>
    <col min="14043" max="14043" width="6.4140625" style="1"/>
    <col min="14044" max="14044" width="6.4140625" style="2"/>
    <col min="14045" max="14045" width="6.4140625" style="3"/>
    <col min="14046" max="14046" width="6.4140625" style="2"/>
    <col min="14047" max="14047" width="6.4140625" style="3"/>
    <col min="14048" max="14049" width="6.4140625" style="2"/>
    <col min="14050" max="14050" width="6.4140625" style="1"/>
    <col min="14051" max="14051" width="6.4140625" style="2"/>
    <col min="14052" max="14052" width="6.4140625" style="3"/>
    <col min="14053" max="14053" width="6.4140625" style="2"/>
    <col min="14054" max="14054" width="6.4140625" style="3"/>
    <col min="14055" max="14056" width="6.4140625" style="2"/>
    <col min="14057" max="14057" width="6.4140625" style="1"/>
    <col min="14058" max="14058" width="6.4140625" style="2"/>
    <col min="14059" max="14059" width="6.4140625" style="3"/>
    <col min="14060" max="14060" width="6.4140625" style="2"/>
    <col min="14061" max="14061" width="6.4140625" style="3"/>
    <col min="14062" max="14063" width="6.4140625" style="2"/>
    <col min="14064" max="14064" width="6.4140625" style="1"/>
    <col min="14065" max="14065" width="6.4140625" style="2"/>
    <col min="14066" max="14066" width="6.4140625" style="3"/>
    <col min="14067" max="14067" width="6.4140625" style="2"/>
    <col min="14068" max="14068" width="6.4140625" style="3"/>
    <col min="14069" max="14070" width="6.4140625" style="2"/>
    <col min="14071" max="14071" width="6.4140625" style="1"/>
    <col min="14072" max="14072" width="6.4140625" style="2"/>
    <col min="14073" max="14073" width="6.4140625" style="3"/>
    <col min="14074" max="14074" width="6.4140625" style="2"/>
    <col min="14075" max="14075" width="6.4140625" style="3"/>
    <col min="14076" max="14077" width="6.4140625" style="2"/>
    <col min="14078" max="14078" width="6.4140625" style="1"/>
    <col min="14079" max="14079" width="6.4140625" style="2"/>
    <col min="14080" max="14080" width="6.4140625" style="3"/>
    <col min="14081" max="14081" width="6.4140625" style="2"/>
    <col min="14082" max="14082" width="6.4140625" style="3"/>
    <col min="14083" max="14084" width="6.4140625" style="2"/>
    <col min="14085" max="14085" width="6.4140625" style="1"/>
    <col min="14086" max="14086" width="6.4140625" style="2"/>
    <col min="14087" max="14087" width="6.4140625" style="3"/>
    <col min="14088" max="14088" width="6.4140625" style="2"/>
    <col min="14089" max="14089" width="6.4140625" style="3"/>
    <col min="14090" max="14091" width="6.4140625" style="2"/>
    <col min="14092" max="14092" width="6.4140625" style="1"/>
    <col min="14093" max="14093" width="6.4140625" style="2"/>
    <col min="14094" max="14094" width="6.4140625" style="3"/>
    <col min="14095" max="14095" width="6.4140625" style="2"/>
    <col min="14096" max="14096" width="6.4140625" style="3"/>
    <col min="14097" max="14098" width="6.4140625" style="2"/>
    <col min="14099" max="14099" width="6.4140625" style="1"/>
    <col min="14100" max="14100" width="6.4140625" style="2"/>
    <col min="14101" max="14101" width="6.4140625" style="3"/>
    <col min="14102" max="14102" width="6.4140625" style="2"/>
    <col min="14103" max="14103" width="6.4140625" style="3"/>
    <col min="14104" max="14105" width="6.4140625" style="2"/>
    <col min="14106" max="14106" width="6.4140625" style="1"/>
    <col min="14107" max="14107" width="6.4140625" style="2"/>
    <col min="14108" max="14108" width="6.4140625" style="3"/>
    <col min="14109" max="14109" width="6.4140625" style="2"/>
    <col min="14110" max="14110" width="6.4140625" style="3"/>
    <col min="14111" max="14112" width="6.4140625" style="2"/>
    <col min="14113" max="14113" width="6.4140625" style="1"/>
    <col min="14114" max="14114" width="6.4140625" style="2"/>
    <col min="14115" max="14115" width="6.4140625" style="3"/>
    <col min="14116" max="14116" width="6.4140625" style="2"/>
    <col min="14117" max="14117" width="6.4140625" style="3"/>
    <col min="14118" max="14119" width="6.4140625" style="2"/>
    <col min="14120" max="14120" width="6.4140625" style="1"/>
    <col min="14121" max="14121" width="6.4140625" style="2"/>
    <col min="14122" max="14122" width="6.4140625" style="3"/>
    <col min="14123" max="14123" width="6.4140625" style="2"/>
    <col min="14124" max="14124" width="6.4140625" style="3"/>
    <col min="14125" max="14126" width="6.4140625" style="2"/>
    <col min="14127" max="14127" width="6.4140625" style="1"/>
    <col min="14128" max="14128" width="6.4140625" style="2"/>
    <col min="14129" max="14129" width="6.4140625" style="3"/>
    <col min="14130" max="14130" width="6.4140625" style="2"/>
    <col min="14131" max="14131" width="6.4140625" style="3"/>
    <col min="14132" max="14133" width="6.4140625" style="2"/>
    <col min="14134" max="14134" width="6.4140625" style="1"/>
    <col min="14135" max="14135" width="6.4140625" style="2"/>
    <col min="14136" max="14136" width="6.4140625" style="3"/>
    <col min="14137" max="14137" width="6.4140625" style="2"/>
    <col min="14138" max="14138" width="6.4140625" style="3"/>
    <col min="14139" max="14140" width="6.4140625" style="2"/>
    <col min="14141" max="14141" width="6.4140625" style="1"/>
    <col min="14142" max="14142" width="6.4140625" style="2"/>
    <col min="14143" max="14143" width="6.4140625" style="3"/>
    <col min="14144" max="14144" width="6.4140625" style="2"/>
    <col min="14145" max="14145" width="6.4140625" style="3"/>
    <col min="14146" max="14147" width="6.4140625" style="2"/>
    <col min="14148" max="14148" width="6.4140625" style="1"/>
    <col min="14149" max="14149" width="6.4140625" style="2"/>
    <col min="14150" max="14150" width="6.4140625" style="3"/>
    <col min="14151" max="14151" width="6.4140625" style="2"/>
    <col min="14152" max="14152" width="6.4140625" style="3"/>
    <col min="14153" max="14154" width="6.4140625" style="2"/>
    <col min="14155" max="14155" width="6.4140625" style="1"/>
    <col min="14156" max="14156" width="6.4140625" style="2"/>
    <col min="14157" max="14157" width="6.4140625" style="3"/>
    <col min="14158" max="14158" width="6.4140625" style="2"/>
    <col min="14159" max="14159" width="6.4140625" style="3"/>
    <col min="14160" max="14161" width="6.4140625" style="2"/>
    <col min="14162" max="14162" width="6.4140625" style="1"/>
    <col min="14163" max="14163" width="6.4140625" style="2"/>
    <col min="14164" max="14164" width="6.4140625" style="3"/>
    <col min="14165" max="14165" width="6.4140625" style="2"/>
    <col min="14166" max="14166" width="6.4140625" style="3"/>
    <col min="14167" max="14168" width="6.4140625" style="2"/>
    <col min="14169" max="14169" width="6.4140625" style="1"/>
    <col min="14170" max="14170" width="6.4140625" style="2"/>
    <col min="14171" max="14171" width="6.4140625" style="3"/>
    <col min="14172" max="14172" width="6.4140625" style="2"/>
    <col min="14173" max="14173" width="6.4140625" style="3"/>
    <col min="14174" max="14175" width="6.4140625" style="2"/>
    <col min="14176" max="14176" width="6.4140625" style="1"/>
    <col min="14177" max="14177" width="6.4140625" style="2"/>
    <col min="14178" max="14178" width="6.4140625" style="3"/>
    <col min="14179" max="14179" width="6.4140625" style="2"/>
    <col min="14180" max="14180" width="6.4140625" style="3"/>
    <col min="14181" max="14182" width="6.4140625" style="2"/>
    <col min="14183" max="14183" width="6.4140625" style="1"/>
    <col min="14184" max="14184" width="6.4140625" style="2"/>
    <col min="14185" max="14185" width="6.4140625" style="3"/>
    <col min="14186" max="14186" width="6.4140625" style="2"/>
    <col min="14187" max="14187" width="6.4140625" style="3"/>
    <col min="14188" max="14189" width="6.4140625" style="2"/>
    <col min="14190" max="14190" width="6.4140625" style="1"/>
    <col min="14191" max="14191" width="6.4140625" style="2"/>
    <col min="14192" max="14192" width="6.4140625" style="3"/>
    <col min="14193" max="14193" width="6.4140625" style="2"/>
    <col min="14194" max="14194" width="6.4140625" style="3"/>
    <col min="14195" max="14196" width="6.4140625" style="2"/>
    <col min="14197" max="14197" width="6.4140625" style="1"/>
    <col min="14198" max="14198" width="6.4140625" style="2"/>
    <col min="14199" max="14199" width="6.4140625" style="3"/>
    <col min="14200" max="14200" width="6.4140625" style="2"/>
    <col min="14201" max="14201" width="6.4140625" style="3"/>
    <col min="14202" max="14203" width="6.4140625" style="2"/>
    <col min="14204" max="14204" width="6.4140625" style="1"/>
    <col min="14205" max="14205" width="6.4140625" style="2"/>
    <col min="14206" max="14206" width="6.4140625" style="3"/>
    <col min="14207" max="14207" width="6.4140625" style="2"/>
    <col min="14208" max="14208" width="6.4140625" style="3"/>
    <col min="14209" max="14210" width="6.4140625" style="2"/>
    <col min="14211" max="14211" width="6.4140625" style="1"/>
    <col min="14212" max="14212" width="6.4140625" style="2"/>
    <col min="14213" max="14213" width="6.4140625" style="3"/>
    <col min="14214" max="14214" width="6.4140625" style="2"/>
    <col min="14215" max="14215" width="6.4140625" style="3"/>
    <col min="14216" max="14217" width="6.4140625" style="2"/>
    <col min="14218" max="14218" width="6.4140625" style="1"/>
    <col min="14219" max="14219" width="6.4140625" style="2"/>
    <col min="14220" max="14220" width="6.4140625" style="3"/>
    <col min="14221" max="14221" width="6.4140625" style="2"/>
    <col min="14222" max="14222" width="6.4140625" style="3"/>
    <col min="14223" max="14224" width="6.4140625" style="2"/>
    <col min="14225" max="14225" width="6.4140625" style="1"/>
    <col min="14226" max="14226" width="6.4140625" style="2"/>
    <col min="14227" max="14227" width="6.4140625" style="3"/>
    <col min="14228" max="14228" width="6.4140625" style="2"/>
    <col min="14229" max="14229" width="6.4140625" style="3"/>
    <col min="14230" max="14231" width="6.4140625" style="2"/>
    <col min="14232" max="14232" width="6.4140625" style="1"/>
    <col min="14233" max="14233" width="6.4140625" style="2"/>
    <col min="14234" max="14234" width="6.4140625" style="3"/>
    <col min="14235" max="14235" width="6.4140625" style="2"/>
    <col min="14236" max="14236" width="6.4140625" style="3"/>
    <col min="14237" max="14238" width="6.4140625" style="2"/>
    <col min="14239" max="14239" width="6.4140625" style="1"/>
    <col min="14240" max="14240" width="6.4140625" style="2"/>
    <col min="14241" max="14241" width="6.4140625" style="3"/>
    <col min="14242" max="14242" width="6.4140625" style="2"/>
    <col min="14243" max="14243" width="6.4140625" style="3"/>
    <col min="14244" max="14245" width="6.4140625" style="2"/>
    <col min="14246" max="14246" width="6.4140625" style="1"/>
    <col min="14247" max="14247" width="6.4140625" style="2"/>
    <col min="14248" max="14248" width="6.4140625" style="3"/>
    <col min="14249" max="14249" width="6.4140625" style="2"/>
    <col min="14250" max="14250" width="6.4140625" style="3"/>
    <col min="14251" max="14252" width="6.4140625" style="2"/>
    <col min="14253" max="14253" width="6.4140625" style="1"/>
    <col min="14254" max="14254" width="6.4140625" style="2"/>
    <col min="14255" max="14255" width="6.4140625" style="3"/>
    <col min="14256" max="14256" width="6.4140625" style="2"/>
    <col min="14257" max="14257" width="6.4140625" style="3"/>
    <col min="14258" max="14259" width="6.4140625" style="2"/>
    <col min="14260" max="14260" width="6.4140625" style="1"/>
    <col min="14261" max="14261" width="6.4140625" style="2"/>
    <col min="14262" max="14262" width="6.4140625" style="3"/>
    <col min="14263" max="14263" width="6.4140625" style="2"/>
    <col min="14264" max="14264" width="6.4140625" style="3"/>
    <col min="14265" max="14266" width="6.4140625" style="2"/>
    <col min="14267" max="14267" width="6.4140625" style="1"/>
    <col min="14268" max="14268" width="6.4140625" style="2"/>
    <col min="14269" max="14269" width="6.4140625" style="3"/>
    <col min="14270" max="14270" width="6.4140625" style="2"/>
    <col min="14271" max="14271" width="6.4140625" style="3"/>
    <col min="14272" max="14273" width="6.4140625" style="2"/>
    <col min="14274" max="14274" width="6.4140625" style="1"/>
    <col min="14275" max="14275" width="6.4140625" style="2"/>
    <col min="14276" max="14276" width="6.4140625" style="3"/>
    <col min="14277" max="14277" width="6.4140625" style="2"/>
    <col min="14278" max="14278" width="6.4140625" style="3"/>
    <col min="14279" max="14280" width="6.4140625" style="2"/>
    <col min="14281" max="14281" width="6.4140625" style="1"/>
    <col min="14282" max="14282" width="6.4140625" style="2"/>
    <col min="14283" max="14283" width="6.4140625" style="3"/>
    <col min="14284" max="14284" width="6.4140625" style="2"/>
    <col min="14285" max="14285" width="6.4140625" style="3"/>
    <col min="14286" max="14287" width="6.4140625" style="2"/>
    <col min="14288" max="14288" width="6.4140625" style="1"/>
    <col min="14289" max="14289" width="6.4140625" style="2"/>
    <col min="14290" max="14290" width="6.4140625" style="3"/>
    <col min="14291" max="14291" width="6.4140625" style="2"/>
    <col min="14292" max="14292" width="6.4140625" style="3"/>
    <col min="14293" max="14294" width="6.4140625" style="2"/>
    <col min="14295" max="14295" width="6.4140625" style="1"/>
    <col min="14296" max="14296" width="6.4140625" style="2"/>
    <col min="14297" max="14297" width="6.4140625" style="3"/>
    <col min="14298" max="14298" width="6.4140625" style="2"/>
    <col min="14299" max="14299" width="6.4140625" style="3"/>
    <col min="14300" max="14301" width="6.4140625" style="2"/>
    <col min="14302" max="14302" width="6.4140625" style="1"/>
    <col min="14303" max="14303" width="6.4140625" style="2"/>
    <col min="14304" max="14304" width="6.4140625" style="3"/>
    <col min="14305" max="14305" width="6.4140625" style="2"/>
    <col min="14306" max="14306" width="6.4140625" style="3"/>
    <col min="14307" max="14308" width="6.4140625" style="2"/>
    <col min="14309" max="14309" width="6.4140625" style="1"/>
    <col min="14310" max="14310" width="6.4140625" style="2"/>
    <col min="14311" max="14311" width="6.4140625" style="3"/>
    <col min="14312" max="14312" width="6.4140625" style="2"/>
    <col min="14313" max="14313" width="6.4140625" style="3"/>
    <col min="14314" max="14315" width="6.4140625" style="2"/>
    <col min="14316" max="14316" width="6.4140625" style="1"/>
    <col min="14317" max="14317" width="6.4140625" style="2"/>
    <col min="14318" max="14318" width="6.4140625" style="3"/>
    <col min="14319" max="14319" width="6.4140625" style="2"/>
    <col min="14320" max="14320" width="6.4140625" style="3"/>
    <col min="14321" max="14322" width="6.4140625" style="2"/>
    <col min="14323" max="14323" width="6.4140625" style="1"/>
    <col min="14324" max="14324" width="6.4140625" style="2"/>
    <col min="14325" max="14325" width="6.4140625" style="3"/>
    <col min="14326" max="14326" width="6.4140625" style="2"/>
    <col min="14327" max="14327" width="6.4140625" style="3"/>
    <col min="14328" max="14329" width="6.4140625" style="2"/>
    <col min="14330" max="14330" width="6.4140625" style="1"/>
    <col min="14331" max="14331" width="6.4140625" style="2"/>
    <col min="14332" max="14332" width="6.4140625" style="3"/>
    <col min="14333" max="14333" width="6.4140625" style="2"/>
    <col min="14334" max="14334" width="6.4140625" style="3"/>
    <col min="14335" max="14336" width="6.4140625" style="2"/>
    <col min="14337" max="14337" width="6.4140625" style="1"/>
    <col min="14338" max="14338" width="6.4140625" style="2"/>
    <col min="14339" max="14339" width="6.4140625" style="3"/>
    <col min="14340" max="14340" width="6.4140625" style="2"/>
    <col min="14341" max="14341" width="6.4140625" style="3"/>
    <col min="14342" max="14343" width="6.4140625" style="2"/>
    <col min="14344" max="14344" width="6.4140625" style="1"/>
    <col min="14345" max="14345" width="6.4140625" style="2"/>
    <col min="14346" max="14346" width="6.4140625" style="3"/>
    <col min="14347" max="14347" width="6.4140625" style="2"/>
    <col min="14348" max="14348" width="6.4140625" style="3"/>
    <col min="14349" max="14350" width="6.4140625" style="2"/>
    <col min="14351" max="14351" width="6.4140625" style="1"/>
    <col min="14352" max="14352" width="6.4140625" style="2"/>
    <col min="14353" max="14353" width="6.4140625" style="3"/>
    <col min="14354" max="14354" width="6.4140625" style="2"/>
    <col min="14355" max="14355" width="6.4140625" style="3"/>
    <col min="14356" max="14357" width="6.4140625" style="2"/>
    <col min="14358" max="14358" width="6.4140625" style="1"/>
    <col min="14359" max="14359" width="6.4140625" style="2"/>
    <col min="14360" max="14360" width="6.4140625" style="3"/>
    <col min="14361" max="14361" width="6.4140625" style="2"/>
    <col min="14362" max="14362" width="6.4140625" style="3"/>
    <col min="14363" max="14364" width="6.4140625" style="2"/>
    <col min="14365" max="14365" width="6.4140625" style="1"/>
    <col min="14366" max="14366" width="6.4140625" style="2"/>
    <col min="14367" max="14367" width="6.4140625" style="3"/>
    <col min="14368" max="14368" width="6.4140625" style="2"/>
    <col min="14369" max="14369" width="6.4140625" style="3"/>
    <col min="14370" max="14371" width="6.4140625" style="2"/>
    <col min="14372" max="14372" width="6.4140625" style="1"/>
    <col min="14373" max="14373" width="6.4140625" style="2"/>
    <col min="14374" max="14374" width="6.4140625" style="3"/>
    <col min="14375" max="14375" width="6.4140625" style="2"/>
    <col min="14376" max="14376" width="6.4140625" style="3"/>
    <col min="14377" max="14378" width="6.4140625" style="2"/>
    <col min="14379" max="14379" width="6.4140625" style="1"/>
    <col min="14380" max="14380" width="6.4140625" style="2"/>
    <col min="14381" max="14381" width="6.4140625" style="3"/>
    <col min="14382" max="14382" width="6.4140625" style="2"/>
    <col min="14383" max="14383" width="6.4140625" style="3"/>
    <col min="14384" max="14385" width="6.4140625" style="2"/>
    <col min="14386" max="14386" width="6.4140625" style="1"/>
    <col min="14387" max="14387" width="6.4140625" style="2"/>
    <col min="14388" max="14388" width="6.4140625" style="3"/>
    <col min="14389" max="14389" width="6.4140625" style="2"/>
    <col min="14390" max="14390" width="6.4140625" style="3"/>
    <col min="14391" max="14392" width="6.4140625" style="2"/>
    <col min="14393" max="14393" width="6.4140625" style="1"/>
    <col min="14394" max="14394" width="6.4140625" style="2"/>
    <col min="14395" max="14395" width="6.4140625" style="3"/>
    <col min="14396" max="14396" width="6.4140625" style="2"/>
    <col min="14397" max="14397" width="6.4140625" style="3"/>
    <col min="14398" max="14399" width="6.4140625" style="2"/>
    <col min="14400" max="14400" width="6.4140625" style="1"/>
    <col min="14401" max="14401" width="6.4140625" style="2"/>
    <col min="14402" max="14402" width="6.4140625" style="3"/>
    <col min="14403" max="14403" width="6.4140625" style="2"/>
    <col min="14404" max="14404" width="6.4140625" style="3"/>
    <col min="14405" max="14406" width="6.4140625" style="2"/>
    <col min="14407" max="14407" width="6.4140625" style="1"/>
    <col min="14408" max="14408" width="6.4140625" style="2"/>
    <col min="14409" max="14409" width="6.4140625" style="3"/>
    <col min="14410" max="14410" width="6.4140625" style="2"/>
    <col min="14411" max="14411" width="6.4140625" style="3"/>
    <col min="14412" max="14413" width="6.4140625" style="2"/>
    <col min="14414" max="14414" width="6.4140625" style="1"/>
    <col min="14415" max="14415" width="6.4140625" style="2"/>
    <col min="14416" max="14416" width="6.4140625" style="3"/>
    <col min="14417" max="14417" width="6.4140625" style="2"/>
    <col min="14418" max="14418" width="6.4140625" style="3"/>
    <col min="14419" max="14420" width="6.4140625" style="2"/>
    <col min="14421" max="14421" width="6.4140625" style="1"/>
    <col min="14422" max="14422" width="6.4140625" style="2"/>
    <col min="14423" max="14423" width="6.4140625" style="3"/>
    <col min="14424" max="14424" width="6.4140625" style="2"/>
    <col min="14425" max="14425" width="6.4140625" style="3"/>
    <col min="14426" max="14427" width="6.4140625" style="2"/>
    <col min="14428" max="14428" width="6.4140625" style="1"/>
    <col min="14429" max="14429" width="6.4140625" style="2"/>
    <col min="14430" max="14430" width="6.4140625" style="3"/>
    <col min="14431" max="14431" width="6.4140625" style="2"/>
    <col min="14432" max="14432" width="6.4140625" style="3"/>
    <col min="14433" max="14434" width="6.4140625" style="2"/>
    <col min="14435" max="14435" width="6.4140625" style="1"/>
    <col min="14436" max="14436" width="6.4140625" style="2"/>
    <col min="14437" max="14437" width="6.4140625" style="3"/>
    <col min="14438" max="14438" width="6.4140625" style="2"/>
    <col min="14439" max="14439" width="6.4140625" style="3"/>
    <col min="14440" max="14441" width="6.4140625" style="2"/>
    <col min="14442" max="14442" width="6.4140625" style="1"/>
    <col min="14443" max="14443" width="6.4140625" style="2"/>
    <col min="14444" max="14444" width="6.4140625" style="3"/>
    <col min="14445" max="14445" width="6.4140625" style="2"/>
    <col min="14446" max="14446" width="6.4140625" style="3"/>
    <col min="14447" max="14448" width="6.4140625" style="2"/>
    <col min="14449" max="14449" width="6.4140625" style="1"/>
    <col min="14450" max="14450" width="6.4140625" style="2"/>
    <col min="14451" max="14451" width="6.4140625" style="3"/>
    <col min="14452" max="14452" width="6.4140625" style="2"/>
    <col min="14453" max="14453" width="6.4140625" style="3"/>
    <col min="14454" max="14455" width="6.4140625" style="2"/>
    <col min="14456" max="14456" width="6.4140625" style="1"/>
    <col min="14457" max="14457" width="6.4140625" style="2"/>
    <col min="14458" max="14458" width="6.4140625" style="3"/>
    <col min="14459" max="14459" width="6.4140625" style="2"/>
    <col min="14460" max="14460" width="6.4140625" style="3"/>
    <col min="14461" max="14462" width="6.4140625" style="2"/>
    <col min="14463" max="14463" width="6.4140625" style="1"/>
    <col min="14464" max="14464" width="6.4140625" style="2"/>
    <col min="14465" max="14465" width="6.4140625" style="3"/>
    <col min="14466" max="14466" width="6.4140625" style="2"/>
    <col min="14467" max="14467" width="6.4140625" style="3"/>
    <col min="14468" max="14469" width="6.4140625" style="2"/>
    <col min="14470" max="14470" width="6.4140625" style="1"/>
    <col min="14471" max="14471" width="6.4140625" style="2"/>
    <col min="14472" max="14472" width="6.4140625" style="3"/>
    <col min="14473" max="14473" width="6.4140625" style="2"/>
    <col min="14474" max="14474" width="6.4140625" style="3"/>
    <col min="14475" max="14476" width="6.4140625" style="2"/>
    <col min="14477" max="14477" width="6.4140625" style="1"/>
    <col min="14478" max="14478" width="6.4140625" style="2"/>
    <col min="14479" max="14479" width="6.4140625" style="3"/>
    <col min="14480" max="14480" width="6.4140625" style="2"/>
    <col min="14481" max="14481" width="6.4140625" style="3"/>
    <col min="14482" max="14483" width="6.4140625" style="2"/>
    <col min="14484" max="14484" width="6.4140625" style="1"/>
    <col min="14485" max="14485" width="6.4140625" style="2"/>
    <col min="14486" max="14486" width="6.4140625" style="3"/>
    <col min="14487" max="14487" width="6.4140625" style="2"/>
    <col min="14488" max="14488" width="6.4140625" style="3"/>
    <col min="14489" max="14490" width="6.4140625" style="2"/>
    <col min="14491" max="14491" width="6.4140625" style="1"/>
    <col min="14492" max="14492" width="6.4140625" style="2"/>
    <col min="14493" max="14493" width="6.4140625" style="3"/>
    <col min="14494" max="14494" width="6.4140625" style="2"/>
    <col min="14495" max="14495" width="6.4140625" style="3"/>
    <col min="14496" max="14497" width="6.4140625" style="2"/>
    <col min="14498" max="14498" width="6.4140625" style="1"/>
    <col min="14499" max="14499" width="6.4140625" style="2"/>
    <col min="14500" max="14500" width="6.4140625" style="3"/>
    <col min="14501" max="14501" width="6.4140625" style="2"/>
    <col min="14502" max="14502" width="6.4140625" style="3"/>
    <col min="14503" max="14504" width="6.4140625" style="2"/>
    <col min="14505" max="14505" width="6.4140625" style="1"/>
    <col min="14506" max="14506" width="6.4140625" style="2"/>
    <col min="14507" max="14507" width="6.4140625" style="3"/>
    <col min="14508" max="14508" width="6.4140625" style="2"/>
    <col min="14509" max="14509" width="6.4140625" style="3"/>
    <col min="14510" max="14511" width="6.4140625" style="2"/>
    <col min="14512" max="14512" width="6.4140625" style="1"/>
    <col min="14513" max="14513" width="6.4140625" style="2"/>
    <col min="14514" max="14514" width="6.4140625" style="3"/>
    <col min="14515" max="14515" width="6.4140625" style="2"/>
    <col min="14516" max="14516" width="6.4140625" style="3"/>
    <col min="14517" max="14518" width="6.4140625" style="2"/>
    <col min="14519" max="14519" width="6.4140625" style="1"/>
    <col min="14520" max="14520" width="6.4140625" style="2"/>
    <col min="14521" max="14521" width="6.4140625" style="3"/>
    <col min="14522" max="14522" width="6.4140625" style="2"/>
    <col min="14523" max="14523" width="6.4140625" style="3"/>
    <col min="14524" max="14525" width="6.4140625" style="2"/>
    <col min="14526" max="14526" width="6.4140625" style="1"/>
    <col min="14527" max="14527" width="6.4140625" style="2"/>
    <col min="14528" max="14528" width="6.4140625" style="3"/>
    <col min="14529" max="14529" width="6.4140625" style="2"/>
    <col min="14530" max="14530" width="6.4140625" style="3"/>
    <col min="14531" max="14532" width="6.4140625" style="2"/>
    <col min="14533" max="14533" width="6.4140625" style="1"/>
    <col min="14534" max="14534" width="6.4140625" style="2"/>
    <col min="14535" max="14535" width="6.4140625" style="3"/>
    <col min="14536" max="14536" width="6.4140625" style="2"/>
    <col min="14537" max="14537" width="6.4140625" style="3"/>
    <col min="14538" max="14539" width="6.4140625" style="2"/>
    <col min="14540" max="14540" width="6.4140625" style="1"/>
    <col min="14541" max="14541" width="6.4140625" style="2"/>
    <col min="14542" max="14542" width="6.4140625" style="3"/>
    <col min="14543" max="14543" width="6.4140625" style="2"/>
    <col min="14544" max="14544" width="6.4140625" style="3"/>
    <col min="14545" max="14546" width="6.4140625" style="2"/>
    <col min="14547" max="14547" width="6.4140625" style="1"/>
    <col min="14548" max="14548" width="6.4140625" style="2"/>
    <col min="14549" max="14549" width="6.4140625" style="3"/>
    <col min="14550" max="14550" width="6.4140625" style="2"/>
    <col min="14551" max="14551" width="6.4140625" style="3"/>
    <col min="14552" max="14553" width="6.4140625" style="2"/>
    <col min="14554" max="14554" width="6.4140625" style="1"/>
    <col min="14555" max="14555" width="6.4140625" style="2"/>
    <col min="14556" max="14556" width="6.4140625" style="3"/>
    <col min="14557" max="14557" width="6.4140625" style="2"/>
    <col min="14558" max="14558" width="6.4140625" style="3"/>
    <col min="14559" max="14560" width="6.4140625" style="2"/>
    <col min="14561" max="14561" width="6.4140625" style="1"/>
    <col min="14562" max="14562" width="6.4140625" style="2"/>
    <col min="14563" max="14563" width="6.4140625" style="3"/>
    <col min="14564" max="14564" width="6.4140625" style="2"/>
    <col min="14565" max="14565" width="6.4140625" style="3"/>
    <col min="14566" max="14567" width="6.4140625" style="2"/>
    <col min="14568" max="14568" width="6.4140625" style="1"/>
    <col min="14569" max="14569" width="6.4140625" style="2"/>
    <col min="14570" max="14570" width="6.4140625" style="3"/>
    <col min="14571" max="14571" width="6.4140625" style="2"/>
    <col min="14572" max="14572" width="6.4140625" style="3"/>
    <col min="14573" max="14574" width="6.4140625" style="2"/>
    <col min="14575" max="14575" width="6.4140625" style="1"/>
    <col min="14576" max="14576" width="6.4140625" style="2"/>
    <col min="14577" max="14577" width="6.4140625" style="3"/>
    <col min="14578" max="14578" width="6.4140625" style="2"/>
    <col min="14579" max="14579" width="6.4140625" style="3"/>
    <col min="14580" max="14581" width="6.4140625" style="2"/>
    <col min="14582" max="14582" width="6.4140625" style="1"/>
    <col min="14583" max="14583" width="6.4140625" style="2"/>
    <col min="14584" max="14584" width="6.4140625" style="3"/>
    <col min="14585" max="14585" width="6.4140625" style="2"/>
    <col min="14586" max="14586" width="6.4140625" style="3"/>
    <col min="14587" max="14588" width="6.4140625" style="2"/>
    <col min="14589" max="14589" width="6.4140625" style="1"/>
    <col min="14590" max="14590" width="6.4140625" style="2"/>
    <col min="14591" max="14591" width="6.4140625" style="3"/>
    <col min="14592" max="14592" width="6.4140625" style="2"/>
    <col min="14593" max="14593" width="6.4140625" style="3"/>
    <col min="14594" max="14595" width="6.4140625" style="2"/>
    <col min="14596" max="14596" width="6.4140625" style="1"/>
    <col min="14597" max="14597" width="6.4140625" style="2"/>
    <col min="14598" max="14598" width="6.4140625" style="3"/>
    <col min="14599" max="14599" width="6.4140625" style="2"/>
    <col min="14600" max="14600" width="6.4140625" style="3"/>
    <col min="14601" max="14602" width="6.4140625" style="2"/>
    <col min="14603" max="14603" width="6.4140625" style="1"/>
    <col min="14604" max="14604" width="6.4140625" style="2"/>
    <col min="14605" max="14605" width="6.4140625" style="3"/>
    <col min="14606" max="14606" width="6.4140625" style="2"/>
    <col min="14607" max="14607" width="6.4140625" style="3"/>
    <col min="14608" max="14609" width="6.4140625" style="2"/>
    <col min="14610" max="14610" width="6.4140625" style="1"/>
    <col min="14611" max="14611" width="6.4140625" style="2"/>
    <col min="14612" max="14612" width="6.4140625" style="3"/>
    <col min="14613" max="14613" width="6.4140625" style="2"/>
    <col min="14614" max="14614" width="6.4140625" style="3"/>
    <col min="14615" max="14616" width="6.4140625" style="2"/>
    <col min="14617" max="14617" width="6.4140625" style="1"/>
    <col min="14618" max="14618" width="6.4140625" style="2"/>
    <col min="14619" max="14619" width="6.4140625" style="3"/>
    <col min="14620" max="14620" width="6.4140625" style="2"/>
    <col min="14621" max="14621" width="6.4140625" style="3"/>
    <col min="14622" max="14623" width="6.4140625" style="2"/>
    <col min="14624" max="14624" width="6.4140625" style="1"/>
    <col min="14625" max="14625" width="6.4140625" style="2"/>
    <col min="14626" max="14626" width="6.4140625" style="3"/>
    <col min="14627" max="14627" width="6.4140625" style="2"/>
    <col min="14628" max="14628" width="6.4140625" style="3"/>
    <col min="14629" max="14630" width="6.4140625" style="2"/>
    <col min="14631" max="14631" width="6.4140625" style="1"/>
    <col min="14632" max="14632" width="6.4140625" style="2"/>
    <col min="14633" max="14633" width="6.4140625" style="3"/>
    <col min="14634" max="14634" width="6.4140625" style="2"/>
    <col min="14635" max="14635" width="6.4140625" style="3"/>
    <col min="14636" max="14637" width="6.4140625" style="2"/>
    <col min="14638" max="14638" width="6.4140625" style="1"/>
    <col min="14639" max="14639" width="6.4140625" style="2"/>
    <col min="14640" max="14640" width="6.4140625" style="3"/>
    <col min="14641" max="14641" width="6.4140625" style="2"/>
    <col min="14642" max="14642" width="6.4140625" style="3"/>
    <col min="14643" max="14644" width="6.4140625" style="2"/>
    <col min="14645" max="14645" width="6.4140625" style="1"/>
    <col min="14646" max="14646" width="6.4140625" style="2"/>
    <col min="14647" max="14647" width="6.4140625" style="3"/>
    <col min="14648" max="14648" width="6.4140625" style="2"/>
    <col min="14649" max="14649" width="6.4140625" style="3"/>
    <col min="14650" max="14651" width="6.4140625" style="2"/>
    <col min="14652" max="14652" width="6.4140625" style="1"/>
    <col min="14653" max="14653" width="6.4140625" style="2"/>
    <col min="14654" max="14654" width="6.4140625" style="3"/>
    <col min="14655" max="14655" width="6.4140625" style="2"/>
    <col min="14656" max="14656" width="6.4140625" style="3"/>
    <col min="14657" max="14658" width="6.4140625" style="2"/>
    <col min="14659" max="14659" width="6.4140625" style="1"/>
    <col min="14660" max="14660" width="6.4140625" style="2"/>
    <col min="14661" max="14661" width="6.4140625" style="3"/>
    <col min="14662" max="14662" width="6.4140625" style="2"/>
    <col min="14663" max="14663" width="6.4140625" style="3"/>
    <col min="14664" max="14665" width="6.4140625" style="2"/>
    <col min="14666" max="14666" width="6.4140625" style="1"/>
    <col min="14667" max="14667" width="6.4140625" style="2"/>
    <col min="14668" max="14668" width="6.4140625" style="3"/>
    <col min="14669" max="14669" width="6.4140625" style="2"/>
    <col min="14670" max="14670" width="6.4140625" style="3"/>
    <col min="14671" max="14672" width="6.4140625" style="2"/>
    <col min="14673" max="14673" width="6.4140625" style="1"/>
    <col min="14674" max="14674" width="6.4140625" style="2"/>
    <col min="14675" max="14675" width="6.4140625" style="3"/>
    <col min="14676" max="14676" width="6.4140625" style="2"/>
    <col min="14677" max="14677" width="6.4140625" style="3"/>
    <col min="14678" max="14679" width="6.4140625" style="2"/>
    <col min="14680" max="14680" width="6.4140625" style="1"/>
    <col min="14681" max="14681" width="6.4140625" style="2"/>
    <col min="14682" max="14682" width="6.4140625" style="3"/>
    <col min="14683" max="14683" width="6.4140625" style="2"/>
    <col min="14684" max="14684" width="6.4140625" style="3"/>
    <col min="14685" max="14686" width="6.4140625" style="2"/>
    <col min="14687" max="14687" width="6.4140625" style="1"/>
    <col min="14688" max="14688" width="6.4140625" style="2"/>
    <col min="14689" max="14689" width="6.4140625" style="3"/>
    <col min="14690" max="14690" width="6.4140625" style="2"/>
    <col min="14691" max="14691" width="6.4140625" style="3"/>
    <col min="14692" max="14693" width="6.4140625" style="2"/>
    <col min="14694" max="14694" width="6.4140625" style="1"/>
    <col min="14695" max="14695" width="6.4140625" style="2"/>
    <col min="14696" max="14696" width="6.4140625" style="3"/>
    <col min="14697" max="14697" width="6.4140625" style="2"/>
    <col min="14698" max="14698" width="6.4140625" style="3"/>
    <col min="14699" max="14700" width="6.4140625" style="2"/>
    <col min="14701" max="14701" width="6.4140625" style="1"/>
    <col min="14702" max="14702" width="6.4140625" style="2"/>
    <col min="14703" max="14703" width="6.4140625" style="3"/>
    <col min="14704" max="14704" width="6.4140625" style="2"/>
    <col min="14705" max="14705" width="6.4140625" style="3"/>
    <col min="14706" max="14707" width="6.4140625" style="2"/>
    <col min="14708" max="14708" width="6.4140625" style="1"/>
    <col min="14709" max="14709" width="6.4140625" style="2"/>
    <col min="14710" max="14710" width="6.4140625" style="3"/>
    <col min="14711" max="14711" width="6.4140625" style="2"/>
    <col min="14712" max="14712" width="6.4140625" style="3"/>
    <col min="14713" max="14714" width="6.4140625" style="2"/>
    <col min="14715" max="14715" width="6.4140625" style="1"/>
    <col min="14716" max="14716" width="6.4140625" style="2"/>
    <col min="14717" max="14717" width="6.4140625" style="3"/>
    <col min="14718" max="14718" width="6.4140625" style="2"/>
    <col min="14719" max="14719" width="6.4140625" style="3"/>
    <col min="14720" max="14721" width="6.4140625" style="2"/>
    <col min="14722" max="14722" width="6.4140625" style="1"/>
    <col min="14723" max="14723" width="6.4140625" style="2"/>
    <col min="14724" max="14724" width="6.4140625" style="3"/>
    <col min="14725" max="14725" width="6.4140625" style="2"/>
    <col min="14726" max="14726" width="6.4140625" style="3"/>
    <col min="14727" max="14728" width="6.4140625" style="2"/>
    <col min="14729" max="14729" width="6.4140625" style="1"/>
    <col min="14730" max="14730" width="6.4140625" style="2"/>
    <col min="14731" max="14731" width="6.4140625" style="3"/>
    <col min="14732" max="14732" width="6.4140625" style="2"/>
    <col min="14733" max="14733" width="6.4140625" style="3"/>
    <col min="14734" max="14735" width="6.4140625" style="2"/>
    <col min="14736" max="14736" width="6.4140625" style="1"/>
    <col min="14737" max="14737" width="6.4140625" style="2"/>
    <col min="14738" max="14738" width="6.4140625" style="3"/>
    <col min="14739" max="14739" width="6.4140625" style="2"/>
    <col min="14740" max="14740" width="6.4140625" style="3"/>
    <col min="14741" max="14742" width="6.4140625" style="2"/>
    <col min="14743" max="14743" width="6.4140625" style="1"/>
    <col min="14744" max="14744" width="6.4140625" style="2"/>
    <col min="14745" max="14745" width="6.4140625" style="3"/>
    <col min="14746" max="14746" width="6.4140625" style="2"/>
    <col min="14747" max="14747" width="6.4140625" style="3"/>
    <col min="14748" max="14749" width="6.4140625" style="2"/>
    <col min="14750" max="14750" width="6.4140625" style="1"/>
    <col min="14751" max="14751" width="6.4140625" style="2"/>
    <col min="14752" max="14752" width="6.4140625" style="3"/>
    <col min="14753" max="14753" width="6.4140625" style="2"/>
    <col min="14754" max="14754" width="6.4140625" style="3"/>
    <col min="14755" max="14756" width="6.4140625" style="2"/>
    <col min="14757" max="14757" width="6.4140625" style="1"/>
    <col min="14758" max="14758" width="6.4140625" style="2"/>
    <col min="14759" max="14759" width="6.4140625" style="3"/>
    <col min="14760" max="14760" width="6.4140625" style="2"/>
    <col min="14761" max="14761" width="6.4140625" style="3"/>
    <col min="14762" max="14763" width="6.4140625" style="2"/>
    <col min="14764" max="14764" width="6.4140625" style="1"/>
    <col min="14765" max="14765" width="6.4140625" style="2"/>
    <col min="14766" max="14766" width="6.4140625" style="3"/>
    <col min="14767" max="14767" width="6.4140625" style="2"/>
    <col min="14768" max="14768" width="6.4140625" style="3"/>
    <col min="14769" max="14770" width="6.4140625" style="2"/>
    <col min="14771" max="14771" width="6.4140625" style="1"/>
    <col min="14772" max="14772" width="6.4140625" style="2"/>
    <col min="14773" max="14773" width="6.4140625" style="3"/>
    <col min="14774" max="14774" width="6.4140625" style="2"/>
    <col min="14775" max="14775" width="6.4140625" style="3"/>
    <col min="14776" max="14777" width="6.4140625" style="2"/>
    <col min="14778" max="14778" width="6.4140625" style="1"/>
    <col min="14779" max="14779" width="6.4140625" style="2"/>
    <col min="14780" max="14780" width="6.4140625" style="3"/>
    <col min="14781" max="14781" width="6.4140625" style="2"/>
    <col min="14782" max="14782" width="6.4140625" style="3"/>
    <col min="14783" max="14784" width="6.4140625" style="2"/>
    <col min="14785" max="14785" width="6.4140625" style="1"/>
    <col min="14786" max="14786" width="6.4140625" style="2"/>
    <col min="14787" max="14787" width="6.4140625" style="3"/>
    <col min="14788" max="14788" width="6.4140625" style="2"/>
    <col min="14789" max="14789" width="6.4140625" style="3"/>
    <col min="14790" max="14791" width="6.4140625" style="2"/>
    <col min="14792" max="14792" width="6.4140625" style="1"/>
    <col min="14793" max="14793" width="6.4140625" style="2"/>
    <col min="14794" max="14794" width="6.4140625" style="3"/>
    <col min="14795" max="14795" width="6.4140625" style="2"/>
    <col min="14796" max="14796" width="6.4140625" style="3"/>
    <col min="14797" max="14798" width="6.4140625" style="2"/>
    <col min="14799" max="14799" width="6.4140625" style="1"/>
    <col min="14800" max="14800" width="6.4140625" style="2"/>
    <col min="14801" max="14801" width="6.4140625" style="3"/>
    <col min="14802" max="14802" width="6.4140625" style="2"/>
    <col min="14803" max="14803" width="6.4140625" style="3"/>
    <col min="14804" max="14805" width="6.4140625" style="2"/>
    <col min="14806" max="14806" width="6.4140625" style="1"/>
    <col min="14807" max="14807" width="6.4140625" style="2"/>
    <col min="14808" max="14808" width="6.4140625" style="3"/>
    <col min="14809" max="14809" width="6.4140625" style="2"/>
    <col min="14810" max="14810" width="6.4140625" style="3"/>
    <col min="14811" max="14812" width="6.4140625" style="2"/>
    <col min="14813" max="14813" width="6.4140625" style="1"/>
    <col min="14814" max="14814" width="6.4140625" style="2"/>
    <col min="14815" max="14815" width="6.4140625" style="3"/>
    <col min="14816" max="14816" width="6.4140625" style="2"/>
    <col min="14817" max="14817" width="6.4140625" style="3"/>
    <col min="14818" max="14819" width="6.4140625" style="2"/>
    <col min="14820" max="14820" width="6.4140625" style="1"/>
    <col min="14821" max="14821" width="6.4140625" style="2"/>
    <col min="14822" max="14822" width="6.4140625" style="3"/>
    <col min="14823" max="14823" width="6.4140625" style="2"/>
    <col min="14824" max="14824" width="6.4140625" style="3"/>
    <col min="14825" max="14826" width="6.4140625" style="2"/>
    <col min="14827" max="14827" width="6.4140625" style="1"/>
    <col min="14828" max="14828" width="6.4140625" style="2"/>
    <col min="14829" max="14829" width="6.4140625" style="3"/>
    <col min="14830" max="14830" width="6.4140625" style="2"/>
    <col min="14831" max="14831" width="6.4140625" style="3"/>
    <col min="14832" max="14833" width="6.4140625" style="2"/>
    <col min="14834" max="14834" width="6.4140625" style="1"/>
    <col min="14835" max="14835" width="6.4140625" style="2"/>
    <col min="14836" max="14836" width="6.4140625" style="3"/>
    <col min="14837" max="14837" width="6.4140625" style="2"/>
    <col min="14838" max="14838" width="6.4140625" style="3"/>
    <col min="14839" max="14840" width="6.4140625" style="2"/>
    <col min="14841" max="14841" width="6.4140625" style="1"/>
    <col min="14842" max="14842" width="6.4140625" style="2"/>
    <col min="14843" max="14843" width="6.4140625" style="3"/>
    <col min="14844" max="14844" width="6.4140625" style="2"/>
    <col min="14845" max="14845" width="6.4140625" style="3"/>
    <col min="14846" max="14847" width="6.4140625" style="2"/>
    <col min="14848" max="14848" width="6.4140625" style="1"/>
    <col min="14849" max="14849" width="6.4140625" style="2"/>
    <col min="14850" max="14850" width="6.4140625" style="3"/>
    <col min="14851" max="14851" width="6.4140625" style="2"/>
    <col min="14852" max="14852" width="6.4140625" style="3"/>
    <col min="14853" max="14854" width="6.4140625" style="2"/>
    <col min="14855" max="14855" width="6.4140625" style="1"/>
    <col min="14856" max="14856" width="6.4140625" style="2"/>
    <col min="14857" max="14857" width="6.4140625" style="3"/>
    <col min="14858" max="14858" width="6.4140625" style="2"/>
    <col min="14859" max="14859" width="6.4140625" style="3"/>
    <col min="14860" max="14861" width="6.4140625" style="2"/>
    <col min="14862" max="14862" width="6.4140625" style="1"/>
    <col min="14863" max="14863" width="6.4140625" style="2"/>
    <col min="14864" max="14864" width="6.4140625" style="3"/>
    <col min="14865" max="14865" width="6.4140625" style="2"/>
    <col min="14866" max="14866" width="6.4140625" style="3"/>
    <col min="14867" max="14868" width="6.4140625" style="2"/>
    <col min="14869" max="14869" width="6.4140625" style="1"/>
    <col min="14870" max="14870" width="6.4140625" style="2"/>
    <col min="14871" max="14871" width="6.4140625" style="3"/>
    <col min="14872" max="14872" width="6.4140625" style="2"/>
    <col min="14873" max="14873" width="6.4140625" style="3"/>
    <col min="14874" max="14875" width="6.4140625" style="2"/>
    <col min="14876" max="14876" width="6.4140625" style="1"/>
    <col min="14877" max="14877" width="6.4140625" style="2"/>
    <col min="14878" max="14878" width="6.4140625" style="3"/>
    <col min="14879" max="14879" width="6.4140625" style="2"/>
    <col min="14880" max="14880" width="6.4140625" style="3"/>
    <col min="14881" max="14882" width="6.4140625" style="2"/>
    <col min="14883" max="14883" width="6.4140625" style="1"/>
    <col min="14884" max="14884" width="6.4140625" style="2"/>
    <col min="14885" max="14885" width="6.4140625" style="3"/>
    <col min="14886" max="14886" width="6.4140625" style="2"/>
    <col min="14887" max="14887" width="6.4140625" style="3"/>
    <col min="14888" max="14889" width="6.4140625" style="2"/>
    <col min="14890" max="14890" width="6.4140625" style="1"/>
    <col min="14891" max="14891" width="6.4140625" style="2"/>
    <col min="14892" max="14892" width="6.4140625" style="3"/>
    <col min="14893" max="14893" width="6.4140625" style="2"/>
    <col min="14894" max="14894" width="6.4140625" style="3"/>
    <col min="14895" max="14896" width="6.4140625" style="2"/>
    <col min="14897" max="14897" width="6.4140625" style="1"/>
    <col min="14898" max="14898" width="6.4140625" style="2"/>
    <col min="14899" max="14899" width="6.4140625" style="3"/>
    <col min="14900" max="14900" width="6.4140625" style="2"/>
    <col min="14901" max="14901" width="6.4140625" style="3"/>
    <col min="14902" max="14903" width="6.4140625" style="2"/>
    <col min="14904" max="14904" width="6.4140625" style="1"/>
    <col min="14905" max="14905" width="6.4140625" style="2"/>
    <col min="14906" max="14906" width="6.4140625" style="3"/>
    <col min="14907" max="14907" width="6.4140625" style="2"/>
    <col min="14908" max="14908" width="6.4140625" style="3"/>
    <col min="14909" max="14910" width="6.4140625" style="2"/>
    <col min="14911" max="14911" width="6.4140625" style="1"/>
    <col min="14912" max="14912" width="6.4140625" style="2"/>
    <col min="14913" max="14913" width="6.4140625" style="3"/>
    <col min="14914" max="14914" width="6.4140625" style="2"/>
    <col min="14915" max="14915" width="6.4140625" style="3"/>
    <col min="14916" max="14917" width="6.4140625" style="2"/>
    <col min="14918" max="14918" width="6.4140625" style="1"/>
    <col min="14919" max="14919" width="6.4140625" style="2"/>
    <col min="14920" max="14920" width="6.4140625" style="3"/>
    <col min="14921" max="14921" width="6.4140625" style="2"/>
    <col min="14922" max="14922" width="6.4140625" style="3"/>
    <col min="14923" max="14924" width="6.4140625" style="2"/>
    <col min="14925" max="14925" width="6.4140625" style="1"/>
    <col min="14926" max="14926" width="6.4140625" style="2"/>
    <col min="14927" max="14927" width="6.4140625" style="3"/>
    <col min="14928" max="14928" width="6.4140625" style="2"/>
    <col min="14929" max="14929" width="6.4140625" style="3"/>
    <col min="14930" max="14931" width="6.4140625" style="2"/>
    <col min="14932" max="14932" width="6.4140625" style="1"/>
    <col min="14933" max="14933" width="6.4140625" style="2"/>
    <col min="14934" max="14934" width="6.4140625" style="3"/>
    <col min="14935" max="14935" width="6.4140625" style="2"/>
    <col min="14936" max="14936" width="6.4140625" style="3"/>
    <col min="14937" max="14938" width="6.4140625" style="2"/>
    <col min="14939" max="14939" width="6.4140625" style="1"/>
    <col min="14940" max="14940" width="6.4140625" style="2"/>
    <col min="14941" max="14941" width="6.4140625" style="3"/>
    <col min="14942" max="14942" width="6.4140625" style="2"/>
    <col min="14943" max="14943" width="6.4140625" style="3"/>
    <col min="14944" max="14945" width="6.4140625" style="2"/>
    <col min="14946" max="14946" width="6.4140625" style="1"/>
    <col min="14947" max="14947" width="6.4140625" style="2"/>
    <col min="14948" max="14948" width="6.4140625" style="3"/>
    <col min="14949" max="14949" width="6.4140625" style="2"/>
    <col min="14950" max="14950" width="6.4140625" style="3"/>
    <col min="14951" max="14952" width="6.4140625" style="2"/>
    <col min="14953" max="14953" width="6.4140625" style="1"/>
    <col min="14954" max="14954" width="6.4140625" style="2"/>
    <col min="14955" max="14955" width="6.4140625" style="3"/>
    <col min="14956" max="14956" width="6.4140625" style="2"/>
    <col min="14957" max="14957" width="6.4140625" style="3"/>
    <col min="14958" max="14959" width="6.4140625" style="2"/>
    <col min="14960" max="14960" width="6.4140625" style="1"/>
    <col min="14961" max="14961" width="6.4140625" style="2"/>
    <col min="14962" max="14962" width="6.4140625" style="3"/>
    <col min="14963" max="14963" width="6.4140625" style="2"/>
    <col min="14964" max="14964" width="6.4140625" style="3"/>
    <col min="14965" max="14966" width="6.4140625" style="2"/>
    <col min="14967" max="14967" width="6.4140625" style="1"/>
    <col min="14968" max="14968" width="6.4140625" style="2"/>
    <col min="14969" max="14969" width="6.4140625" style="3"/>
    <col min="14970" max="14970" width="6.4140625" style="2"/>
    <col min="14971" max="14971" width="6.4140625" style="3"/>
    <col min="14972" max="14973" width="6.4140625" style="2"/>
    <col min="14974" max="14974" width="6.4140625" style="1"/>
    <col min="14975" max="14975" width="6.4140625" style="2"/>
    <col min="14976" max="14976" width="6.4140625" style="3"/>
    <col min="14977" max="14977" width="6.4140625" style="2"/>
    <col min="14978" max="14978" width="6.4140625" style="3"/>
    <col min="14979" max="14980" width="6.4140625" style="2"/>
    <col min="14981" max="14981" width="6.4140625" style="1"/>
    <col min="14982" max="14982" width="6.4140625" style="2"/>
    <col min="14983" max="14983" width="6.4140625" style="3"/>
    <col min="14984" max="14984" width="6.4140625" style="2"/>
    <col min="14985" max="14985" width="6.4140625" style="3"/>
    <col min="14986" max="14987" width="6.4140625" style="2"/>
    <col min="14988" max="14988" width="6.4140625" style="1"/>
    <col min="14989" max="14989" width="6.4140625" style="2"/>
    <col min="14990" max="14990" width="6.4140625" style="3"/>
    <col min="14991" max="14991" width="6.4140625" style="2"/>
    <col min="14992" max="14992" width="6.4140625" style="3"/>
    <col min="14993" max="14994" width="6.4140625" style="2"/>
    <col min="14995" max="14995" width="6.4140625" style="1"/>
    <col min="14996" max="14996" width="6.4140625" style="2"/>
    <col min="14997" max="14997" width="6.4140625" style="3"/>
    <col min="14998" max="14998" width="6.4140625" style="2"/>
    <col min="14999" max="14999" width="6.4140625" style="3"/>
    <col min="15000" max="15001" width="6.4140625" style="2"/>
    <col min="15002" max="15002" width="6.4140625" style="1"/>
    <col min="15003" max="15003" width="6.4140625" style="2"/>
    <col min="15004" max="15004" width="6.4140625" style="3"/>
    <col min="15005" max="15005" width="6.4140625" style="2"/>
    <col min="15006" max="15006" width="6.4140625" style="3"/>
    <col min="15007" max="15008" width="6.4140625" style="2"/>
    <col min="15009" max="15009" width="6.4140625" style="1"/>
    <col min="15010" max="15010" width="6.4140625" style="2"/>
    <col min="15011" max="15011" width="6.4140625" style="3"/>
    <col min="15012" max="15012" width="6.4140625" style="2"/>
    <col min="15013" max="15013" width="6.4140625" style="3"/>
    <col min="15014" max="15015" width="6.4140625" style="2"/>
    <col min="15016" max="15016" width="6.4140625" style="1"/>
    <col min="15017" max="15017" width="6.4140625" style="2"/>
    <col min="15018" max="15018" width="6.4140625" style="3"/>
    <col min="15019" max="15019" width="6.4140625" style="2"/>
    <col min="15020" max="15020" width="6.4140625" style="3"/>
    <col min="15021" max="15022" width="6.4140625" style="2"/>
    <col min="15023" max="15023" width="6.4140625" style="1"/>
    <col min="15024" max="15024" width="6.4140625" style="2"/>
    <col min="15025" max="15025" width="6.4140625" style="3"/>
    <col min="15026" max="15026" width="6.4140625" style="2"/>
    <col min="15027" max="15027" width="6.4140625" style="3"/>
    <col min="15028" max="15029" width="6.4140625" style="2"/>
    <col min="15030" max="15030" width="6.4140625" style="1"/>
    <col min="15031" max="15031" width="6.4140625" style="2"/>
    <col min="15032" max="15032" width="6.4140625" style="3"/>
    <col min="15033" max="15033" width="6.4140625" style="2"/>
    <col min="15034" max="15034" width="6.4140625" style="3"/>
    <col min="15035" max="15036" width="6.4140625" style="2"/>
    <col min="15037" max="15037" width="6.4140625" style="1"/>
    <col min="15038" max="15038" width="6.4140625" style="2"/>
    <col min="15039" max="15039" width="6.4140625" style="3"/>
    <col min="15040" max="15040" width="6.4140625" style="2"/>
    <col min="15041" max="15041" width="6.4140625" style="3"/>
    <col min="15042" max="15043" width="6.4140625" style="2"/>
    <col min="15044" max="15044" width="6.4140625" style="1"/>
    <col min="15045" max="15045" width="6.4140625" style="2"/>
    <col min="15046" max="15046" width="6.4140625" style="3"/>
    <col min="15047" max="15047" width="6.4140625" style="2"/>
    <col min="15048" max="15048" width="6.4140625" style="3"/>
    <col min="15049" max="15050" width="6.4140625" style="2"/>
    <col min="15051" max="15051" width="6.4140625" style="1"/>
    <col min="15052" max="15052" width="6.4140625" style="2"/>
    <col min="15053" max="15053" width="6.4140625" style="3"/>
    <col min="15054" max="15054" width="6.4140625" style="2"/>
    <col min="15055" max="15055" width="6.4140625" style="3"/>
    <col min="15056" max="15057" width="6.4140625" style="2"/>
    <col min="15058" max="15058" width="6.4140625" style="1"/>
    <col min="15059" max="15059" width="6.4140625" style="2"/>
    <col min="15060" max="15060" width="6.4140625" style="3"/>
    <col min="15061" max="15061" width="6.4140625" style="2"/>
    <col min="15062" max="15062" width="6.4140625" style="3"/>
    <col min="15063" max="15064" width="6.4140625" style="2"/>
    <col min="15065" max="15065" width="6.4140625" style="1"/>
    <col min="15066" max="15066" width="6.4140625" style="2"/>
    <col min="15067" max="15067" width="6.4140625" style="3"/>
    <col min="15068" max="15068" width="6.4140625" style="2"/>
    <col min="15069" max="15069" width="6.4140625" style="3"/>
    <col min="15070" max="15071" width="6.4140625" style="2"/>
    <col min="15072" max="15072" width="6.4140625" style="1"/>
    <col min="15073" max="15073" width="6.4140625" style="2"/>
    <col min="15074" max="15074" width="6.4140625" style="3"/>
    <col min="15075" max="15075" width="6.4140625" style="2"/>
    <col min="15076" max="15076" width="6.4140625" style="3"/>
    <col min="15077" max="15078" width="6.4140625" style="2"/>
    <col min="15079" max="15079" width="6.4140625" style="1"/>
    <col min="15080" max="15080" width="6.4140625" style="2"/>
    <col min="15081" max="15081" width="6.4140625" style="3"/>
    <col min="15082" max="15082" width="6.4140625" style="2"/>
    <col min="15083" max="15083" width="6.4140625" style="3"/>
    <col min="15084" max="15085" width="6.4140625" style="2"/>
    <col min="15086" max="15086" width="6.4140625" style="1"/>
    <col min="15087" max="15087" width="6.4140625" style="2"/>
    <col min="15088" max="15088" width="6.4140625" style="3"/>
    <col min="15089" max="15089" width="6.4140625" style="2"/>
    <col min="15090" max="15090" width="6.4140625" style="3"/>
    <col min="15091" max="15092" width="6.4140625" style="2"/>
    <col min="15093" max="15093" width="6.4140625" style="1"/>
    <col min="15094" max="15094" width="6.4140625" style="2"/>
    <col min="15095" max="15095" width="6.4140625" style="3"/>
    <col min="15096" max="15096" width="6.4140625" style="2"/>
    <col min="15097" max="15097" width="6.4140625" style="3"/>
    <col min="15098" max="15099" width="6.4140625" style="2"/>
    <col min="15100" max="15100" width="6.4140625" style="1"/>
    <col min="15101" max="15101" width="6.4140625" style="2"/>
    <col min="15102" max="15102" width="6.4140625" style="3"/>
    <col min="15103" max="15103" width="6.4140625" style="2"/>
    <col min="15104" max="15104" width="6.4140625" style="3"/>
    <col min="15105" max="15106" width="6.4140625" style="2"/>
    <col min="15107" max="15107" width="6.4140625" style="1"/>
    <col min="15108" max="15108" width="6.4140625" style="2"/>
    <col min="15109" max="15109" width="6.4140625" style="3"/>
    <col min="15110" max="15110" width="6.4140625" style="2"/>
    <col min="15111" max="15111" width="6.4140625" style="3"/>
    <col min="15112" max="15113" width="6.4140625" style="2"/>
    <col min="15114" max="15114" width="6.4140625" style="1"/>
    <col min="15115" max="15115" width="6.4140625" style="2"/>
    <col min="15116" max="15116" width="6.4140625" style="3"/>
    <col min="15117" max="15117" width="6.4140625" style="2"/>
    <col min="15118" max="15118" width="6.4140625" style="3"/>
    <col min="15119" max="15120" width="6.4140625" style="2"/>
    <col min="15121" max="15121" width="6.4140625" style="1"/>
    <col min="15122" max="15122" width="6.4140625" style="2"/>
    <col min="15123" max="15123" width="6.4140625" style="3"/>
    <col min="15124" max="15124" width="6.4140625" style="2"/>
    <col min="15125" max="15125" width="6.4140625" style="3"/>
    <col min="15126" max="15127" width="6.4140625" style="2"/>
    <col min="15128" max="15128" width="6.4140625" style="1"/>
    <col min="15129" max="15129" width="6.4140625" style="2"/>
    <col min="15130" max="15130" width="6.4140625" style="3"/>
    <col min="15131" max="15131" width="6.4140625" style="2"/>
    <col min="15132" max="15132" width="6.4140625" style="3"/>
    <col min="15133" max="15134" width="6.4140625" style="2"/>
    <col min="15135" max="15135" width="6.4140625" style="1"/>
    <col min="15136" max="15136" width="6.4140625" style="2"/>
    <col min="15137" max="15137" width="6.4140625" style="3"/>
    <col min="15138" max="15138" width="6.4140625" style="2"/>
    <col min="15139" max="15139" width="6.4140625" style="3"/>
    <col min="15140" max="15141" width="6.4140625" style="2"/>
    <col min="15142" max="15142" width="6.4140625" style="1"/>
    <col min="15143" max="15143" width="6.4140625" style="2"/>
    <col min="15144" max="15144" width="6.4140625" style="3"/>
    <col min="15145" max="15145" width="6.4140625" style="2"/>
    <col min="15146" max="15146" width="6.4140625" style="3"/>
    <col min="15147" max="15148" width="6.4140625" style="2"/>
    <col min="15149" max="15149" width="6.4140625" style="1"/>
    <col min="15150" max="15150" width="6.4140625" style="2"/>
    <col min="15151" max="15151" width="6.4140625" style="3"/>
    <col min="15152" max="15152" width="6.4140625" style="2"/>
    <col min="15153" max="15153" width="6.4140625" style="3"/>
    <col min="15154" max="15155" width="6.4140625" style="2"/>
    <col min="15156" max="15156" width="6.4140625" style="1"/>
    <col min="15157" max="15157" width="6.4140625" style="2"/>
    <col min="15158" max="15158" width="6.4140625" style="3"/>
    <col min="15159" max="15159" width="6.4140625" style="2"/>
    <col min="15160" max="15160" width="6.4140625" style="3"/>
    <col min="15161" max="15162" width="6.4140625" style="2"/>
    <col min="15163" max="15163" width="6.4140625" style="1"/>
    <col min="15164" max="15164" width="6.4140625" style="2"/>
    <col min="15165" max="15165" width="6.4140625" style="3"/>
    <col min="15166" max="15166" width="6.4140625" style="2"/>
    <col min="15167" max="15167" width="6.4140625" style="3"/>
    <col min="15168" max="15169" width="6.4140625" style="2"/>
    <col min="15170" max="15170" width="6.4140625" style="1"/>
    <col min="15171" max="15171" width="6.4140625" style="2"/>
    <col min="15172" max="15172" width="6.4140625" style="3"/>
    <col min="15173" max="15173" width="6.4140625" style="2"/>
    <col min="15174" max="15174" width="6.4140625" style="3"/>
    <col min="15175" max="15176" width="6.4140625" style="2"/>
    <col min="15177" max="15177" width="6.4140625" style="1"/>
    <col min="15178" max="15178" width="6.4140625" style="2"/>
    <col min="15179" max="15179" width="6.4140625" style="3"/>
    <col min="15180" max="15180" width="6.4140625" style="2"/>
    <col min="15181" max="15181" width="6.4140625" style="3"/>
    <col min="15182" max="15183" width="6.4140625" style="2"/>
    <col min="15184" max="15184" width="6.4140625" style="1"/>
    <col min="15185" max="15185" width="6.4140625" style="2"/>
    <col min="15186" max="15186" width="6.4140625" style="3"/>
    <col min="15187" max="15187" width="6.4140625" style="2"/>
    <col min="15188" max="15188" width="6.4140625" style="3"/>
    <col min="15189" max="15190" width="6.4140625" style="2"/>
    <col min="15191" max="15191" width="6.4140625" style="1"/>
    <col min="15192" max="15192" width="6.4140625" style="2"/>
    <col min="15193" max="15193" width="6.4140625" style="3"/>
    <col min="15194" max="15194" width="6.4140625" style="2"/>
    <col min="15195" max="15195" width="6.4140625" style="3"/>
    <col min="15196" max="15197" width="6.4140625" style="2"/>
    <col min="15198" max="15198" width="6.4140625" style="1"/>
    <col min="15199" max="15199" width="6.4140625" style="2"/>
    <col min="15200" max="15200" width="6.4140625" style="3"/>
    <col min="15201" max="15201" width="6.4140625" style="2"/>
    <col min="15202" max="15202" width="6.4140625" style="3"/>
    <col min="15203" max="15204" width="6.4140625" style="2"/>
    <col min="15205" max="15205" width="6.4140625" style="1"/>
    <col min="15206" max="15206" width="6.4140625" style="2"/>
    <col min="15207" max="15207" width="6.4140625" style="3"/>
    <col min="15208" max="15208" width="6.4140625" style="2"/>
    <col min="15209" max="15209" width="6.4140625" style="3"/>
    <col min="15210" max="15211" width="6.4140625" style="2"/>
    <col min="15212" max="15212" width="6.4140625" style="1"/>
    <col min="15213" max="15213" width="6.4140625" style="2"/>
    <col min="15214" max="15214" width="6.4140625" style="3"/>
    <col min="15215" max="15215" width="6.4140625" style="2"/>
    <col min="15216" max="15216" width="6.4140625" style="3"/>
    <col min="15217" max="15218" width="6.4140625" style="2"/>
    <col min="15219" max="15219" width="6.4140625" style="1"/>
    <col min="15220" max="15220" width="6.4140625" style="2"/>
    <col min="15221" max="15221" width="6.4140625" style="3"/>
    <col min="15222" max="15222" width="6.4140625" style="2"/>
    <col min="15223" max="15223" width="6.4140625" style="3"/>
    <col min="15224" max="15225" width="6.4140625" style="2"/>
    <col min="15226" max="15226" width="6.4140625" style="1"/>
    <col min="15227" max="15227" width="6.4140625" style="2"/>
    <col min="15228" max="15228" width="6.4140625" style="3"/>
    <col min="15229" max="15229" width="6.4140625" style="2"/>
    <col min="15230" max="15230" width="6.4140625" style="3"/>
    <col min="15231" max="15232" width="6.4140625" style="2"/>
    <col min="15233" max="15233" width="6.4140625" style="1"/>
    <col min="15234" max="15234" width="6.4140625" style="2"/>
    <col min="15235" max="15235" width="6.4140625" style="3"/>
    <col min="15236" max="15236" width="6.4140625" style="2"/>
    <col min="15237" max="15237" width="6.4140625" style="3"/>
    <col min="15238" max="15239" width="6.4140625" style="2"/>
    <col min="15240" max="15240" width="6.4140625" style="1"/>
    <col min="15241" max="15241" width="6.4140625" style="2"/>
    <col min="15242" max="15242" width="6.4140625" style="3"/>
    <col min="15243" max="15243" width="6.4140625" style="2"/>
    <col min="15244" max="15244" width="6.4140625" style="3"/>
    <col min="15245" max="15246" width="6.4140625" style="2"/>
    <col min="15247" max="15247" width="6.4140625" style="1"/>
    <col min="15248" max="15248" width="6.4140625" style="2"/>
    <col min="15249" max="15249" width="6.4140625" style="3"/>
    <col min="15250" max="15250" width="6.4140625" style="2"/>
    <col min="15251" max="15251" width="6.4140625" style="3"/>
    <col min="15252" max="15253" width="6.4140625" style="2"/>
    <col min="15254" max="15254" width="6.4140625" style="1"/>
    <col min="15255" max="15255" width="6.4140625" style="2"/>
    <col min="15256" max="15256" width="6.4140625" style="3"/>
    <col min="15257" max="15257" width="6.4140625" style="2"/>
    <col min="15258" max="15258" width="6.4140625" style="3"/>
    <col min="15259" max="15260" width="6.4140625" style="2"/>
    <col min="15261" max="15261" width="6.4140625" style="1"/>
    <col min="15262" max="15262" width="6.4140625" style="2"/>
    <col min="15263" max="15263" width="6.4140625" style="3"/>
    <col min="15264" max="15264" width="6.4140625" style="2"/>
    <col min="15265" max="15265" width="6.4140625" style="3"/>
    <col min="15266" max="15267" width="6.4140625" style="2"/>
    <col min="15268" max="15268" width="6.4140625" style="1"/>
    <col min="15269" max="15269" width="6.4140625" style="2"/>
    <col min="15270" max="15270" width="6.4140625" style="3"/>
    <col min="15271" max="15271" width="6.4140625" style="2"/>
    <col min="15272" max="15272" width="6.4140625" style="3"/>
    <col min="15273" max="15274" width="6.4140625" style="2"/>
    <col min="15275" max="15275" width="6.4140625" style="1"/>
    <col min="15276" max="15276" width="6.4140625" style="2"/>
    <col min="15277" max="15277" width="6.4140625" style="3"/>
    <col min="15278" max="15278" width="6.4140625" style="2"/>
    <col min="15279" max="15279" width="6.4140625" style="3"/>
    <col min="15280" max="15281" width="6.4140625" style="2"/>
    <col min="15282" max="15282" width="6.4140625" style="1"/>
    <col min="15283" max="15283" width="6.4140625" style="2"/>
    <col min="15284" max="15284" width="6.4140625" style="3"/>
    <col min="15285" max="15285" width="6.4140625" style="2"/>
    <col min="15286" max="15286" width="6.4140625" style="3"/>
    <col min="15287" max="15288" width="6.4140625" style="2"/>
    <col min="15289" max="15289" width="6.4140625" style="1"/>
    <col min="15290" max="15290" width="6.4140625" style="2"/>
    <col min="15291" max="15291" width="6.4140625" style="3"/>
    <col min="15292" max="15292" width="6.4140625" style="2"/>
    <col min="15293" max="15293" width="6.4140625" style="3"/>
    <col min="15294" max="15295" width="6.4140625" style="2"/>
    <col min="15296" max="15296" width="6.4140625" style="1"/>
    <col min="15297" max="15297" width="6.4140625" style="2"/>
    <col min="15298" max="15298" width="6.4140625" style="3"/>
    <col min="15299" max="15299" width="6.4140625" style="2"/>
    <col min="15300" max="15300" width="6.4140625" style="3"/>
    <col min="15301" max="15302" width="6.4140625" style="2"/>
    <col min="15303" max="15303" width="6.4140625" style="1"/>
    <col min="15304" max="15304" width="6.4140625" style="2"/>
    <col min="15305" max="15305" width="6.4140625" style="3"/>
    <col min="15306" max="15306" width="6.4140625" style="2"/>
    <col min="15307" max="15307" width="6.4140625" style="3"/>
    <col min="15308" max="15309" width="6.4140625" style="2"/>
    <col min="15310" max="15310" width="6.4140625" style="1"/>
    <col min="15311" max="15311" width="6.4140625" style="2"/>
    <col min="15312" max="15312" width="6.4140625" style="3"/>
    <col min="15313" max="15313" width="6.4140625" style="2"/>
    <col min="15314" max="15314" width="6.4140625" style="3"/>
    <col min="15315" max="15316" width="6.4140625" style="2"/>
    <col min="15317" max="15317" width="6.4140625" style="1"/>
    <col min="15318" max="15318" width="6.4140625" style="2"/>
    <col min="15319" max="15319" width="6.4140625" style="3"/>
    <col min="15320" max="15320" width="6.4140625" style="2"/>
    <col min="15321" max="15321" width="6.4140625" style="3"/>
    <col min="15322" max="15323" width="6.4140625" style="2"/>
    <col min="15324" max="15324" width="6.4140625" style="1"/>
    <col min="15325" max="15325" width="6.4140625" style="2"/>
    <col min="15326" max="15326" width="6.4140625" style="3"/>
    <col min="15327" max="15327" width="6.4140625" style="2"/>
    <col min="15328" max="15328" width="6.4140625" style="3"/>
    <col min="15329" max="15330" width="6.4140625" style="2"/>
    <col min="15331" max="15331" width="6.4140625" style="1"/>
    <col min="15332" max="15332" width="6.4140625" style="2"/>
    <col min="15333" max="15333" width="6.4140625" style="3"/>
    <col min="15334" max="15334" width="6.4140625" style="2"/>
    <col min="15335" max="15335" width="6.4140625" style="3"/>
    <col min="15336" max="15337" width="6.4140625" style="2"/>
    <col min="15338" max="15338" width="6.4140625" style="1"/>
    <col min="15339" max="15339" width="6.4140625" style="2"/>
    <col min="15340" max="15340" width="6.4140625" style="3"/>
    <col min="15341" max="15341" width="6.4140625" style="2"/>
    <col min="15342" max="15342" width="6.4140625" style="3"/>
    <col min="15343" max="15344" width="6.4140625" style="2"/>
    <col min="15345" max="15345" width="6.4140625" style="1"/>
    <col min="15346" max="15346" width="6.4140625" style="2"/>
    <col min="15347" max="15347" width="6.4140625" style="3"/>
    <col min="15348" max="15348" width="6.4140625" style="2"/>
    <col min="15349" max="15349" width="6.4140625" style="3"/>
    <col min="15350" max="15351" width="6.4140625" style="2"/>
    <col min="15352" max="15352" width="6.4140625" style="1"/>
    <col min="15353" max="15353" width="6.4140625" style="2"/>
    <col min="15354" max="15354" width="6.4140625" style="3"/>
    <col min="15355" max="15355" width="6.4140625" style="2"/>
    <col min="15356" max="15356" width="6.4140625" style="3"/>
    <col min="15357" max="15358" width="6.4140625" style="2"/>
    <col min="15359" max="15359" width="6.4140625" style="1"/>
    <col min="15360" max="15360" width="6.4140625" style="2"/>
    <col min="15361" max="15361" width="6.4140625" style="3"/>
    <col min="15362" max="15362" width="6.4140625" style="2"/>
    <col min="15363" max="15363" width="6.4140625" style="3"/>
    <col min="15364" max="15365" width="6.4140625" style="2"/>
    <col min="15366" max="15366" width="6.4140625" style="1"/>
    <col min="15367" max="15367" width="6.4140625" style="2"/>
    <col min="15368" max="15368" width="6.4140625" style="3"/>
    <col min="15369" max="15369" width="6.4140625" style="2"/>
    <col min="15370" max="15370" width="6.4140625" style="3"/>
    <col min="15371" max="15372" width="6.4140625" style="2"/>
    <col min="15373" max="15373" width="6.4140625" style="1"/>
    <col min="15374" max="15374" width="6.4140625" style="2"/>
    <col min="15375" max="15375" width="6.4140625" style="3"/>
    <col min="15376" max="15376" width="6.4140625" style="2"/>
    <col min="15377" max="15377" width="6.4140625" style="3"/>
    <col min="15378" max="15379" width="6.4140625" style="2"/>
    <col min="15380" max="15380" width="6.4140625" style="1"/>
    <col min="15381" max="15381" width="6.4140625" style="2"/>
    <col min="15382" max="15382" width="6.4140625" style="3"/>
    <col min="15383" max="15383" width="6.4140625" style="2"/>
    <col min="15384" max="15384" width="6.4140625" style="3"/>
    <col min="15385" max="15386" width="6.4140625" style="2"/>
    <col min="15387" max="15387" width="6.4140625" style="1"/>
    <col min="15388" max="15388" width="6.4140625" style="2"/>
    <col min="15389" max="15389" width="6.4140625" style="3"/>
    <col min="15390" max="15390" width="6.4140625" style="2"/>
    <col min="15391" max="15391" width="6.4140625" style="3"/>
    <col min="15392" max="15393" width="6.4140625" style="2"/>
    <col min="15394" max="15394" width="6.4140625" style="1"/>
    <col min="15395" max="15395" width="6.4140625" style="2"/>
    <col min="15396" max="15396" width="6.4140625" style="3"/>
    <col min="15397" max="15397" width="6.4140625" style="2"/>
    <col min="15398" max="15398" width="6.4140625" style="3"/>
    <col min="15399" max="15400" width="6.4140625" style="2"/>
    <col min="15401" max="15401" width="6.4140625" style="1"/>
    <col min="15402" max="15402" width="6.4140625" style="2"/>
    <col min="15403" max="15403" width="6.4140625" style="3"/>
    <col min="15404" max="15404" width="6.4140625" style="2"/>
    <col min="15405" max="15405" width="6.4140625" style="3"/>
    <col min="15406" max="15407" width="6.4140625" style="2"/>
    <col min="15408" max="15408" width="6.4140625" style="1"/>
    <col min="15409" max="15409" width="6.4140625" style="2"/>
    <col min="15410" max="15410" width="6.4140625" style="3"/>
    <col min="15411" max="15411" width="6.4140625" style="2"/>
    <col min="15412" max="15412" width="6.4140625" style="3"/>
    <col min="15413" max="15414" width="6.4140625" style="2"/>
    <col min="15415" max="15415" width="6.4140625" style="1"/>
    <col min="15416" max="15416" width="6.4140625" style="2"/>
    <col min="15417" max="15417" width="6.4140625" style="3"/>
    <col min="15418" max="15418" width="6.4140625" style="2"/>
    <col min="15419" max="15419" width="6.4140625" style="3"/>
    <col min="15420" max="15421" width="6.4140625" style="2"/>
    <col min="15422" max="15422" width="6.4140625" style="1"/>
    <col min="15423" max="15423" width="6.4140625" style="2"/>
    <col min="15424" max="15424" width="6.4140625" style="3"/>
    <col min="15425" max="15425" width="6.4140625" style="2"/>
    <col min="15426" max="15426" width="6.4140625" style="3"/>
    <col min="15427" max="15428" width="6.4140625" style="2"/>
    <col min="15429" max="15429" width="6.4140625" style="1"/>
    <col min="15430" max="15430" width="6.4140625" style="2"/>
    <col min="15431" max="15431" width="6.4140625" style="3"/>
    <col min="15432" max="15432" width="6.4140625" style="2"/>
    <col min="15433" max="15433" width="6.4140625" style="3"/>
    <col min="15434" max="15435" width="6.4140625" style="2"/>
    <col min="15436" max="15436" width="6.4140625" style="1"/>
    <col min="15437" max="15437" width="6.4140625" style="2"/>
    <col min="15438" max="15438" width="6.4140625" style="3"/>
    <col min="15439" max="15439" width="6.4140625" style="2"/>
    <col min="15440" max="15440" width="6.4140625" style="3"/>
    <col min="15441" max="15442" width="6.4140625" style="2"/>
    <col min="15443" max="15443" width="6.4140625" style="1"/>
    <col min="15444" max="15444" width="6.4140625" style="2"/>
    <col min="15445" max="15445" width="6.4140625" style="3"/>
    <col min="15446" max="15446" width="6.4140625" style="2"/>
    <col min="15447" max="15447" width="6.4140625" style="3"/>
    <col min="15448" max="15449" width="6.4140625" style="2"/>
    <col min="15450" max="15450" width="6.4140625" style="1"/>
    <col min="15451" max="15451" width="6.4140625" style="2"/>
    <col min="15452" max="15452" width="6.4140625" style="3"/>
    <col min="15453" max="15453" width="6.4140625" style="2"/>
    <col min="15454" max="15454" width="6.4140625" style="3"/>
    <col min="15455" max="15456" width="6.4140625" style="2"/>
    <col min="15457" max="15457" width="6.4140625" style="1"/>
    <col min="15458" max="15458" width="6.4140625" style="2"/>
    <col min="15459" max="15459" width="6.4140625" style="3"/>
    <col min="15460" max="15460" width="6.4140625" style="2"/>
    <col min="15461" max="15461" width="6.4140625" style="3"/>
    <col min="15462" max="15463" width="6.4140625" style="2"/>
    <col min="15464" max="15464" width="6.4140625" style="1"/>
    <col min="15465" max="15465" width="6.4140625" style="2"/>
    <col min="15466" max="15466" width="6.4140625" style="3"/>
    <col min="15467" max="15467" width="6.4140625" style="2"/>
    <col min="15468" max="15468" width="6.4140625" style="3"/>
    <col min="15469" max="15470" width="6.4140625" style="2"/>
    <col min="15471" max="15471" width="6.4140625" style="1"/>
    <col min="15472" max="15472" width="6.4140625" style="2"/>
    <col min="15473" max="15473" width="6.4140625" style="3"/>
    <col min="15474" max="15474" width="6.4140625" style="2"/>
    <col min="15475" max="15475" width="6.4140625" style="3"/>
    <col min="15476" max="15477" width="6.4140625" style="2"/>
    <col min="15478" max="15478" width="6.4140625" style="1"/>
    <col min="15479" max="15479" width="6.4140625" style="2"/>
    <col min="15480" max="15480" width="6.4140625" style="3"/>
    <col min="15481" max="15481" width="6.4140625" style="2"/>
    <col min="15482" max="15482" width="6.4140625" style="3"/>
    <col min="15483" max="15484" width="6.4140625" style="2"/>
    <col min="15485" max="15485" width="6.4140625" style="1"/>
    <col min="15486" max="15486" width="6.4140625" style="2"/>
    <col min="15487" max="15487" width="6.4140625" style="3"/>
    <col min="15488" max="15488" width="6.4140625" style="2"/>
    <col min="15489" max="15489" width="6.4140625" style="3"/>
    <col min="15490" max="15491" width="6.4140625" style="2"/>
    <col min="15492" max="15492" width="6.4140625" style="1"/>
    <col min="15493" max="15493" width="6.4140625" style="2"/>
    <col min="15494" max="15494" width="6.4140625" style="3"/>
    <col min="15495" max="15495" width="6.4140625" style="2"/>
    <col min="15496" max="15496" width="6.4140625" style="3"/>
    <col min="15497" max="15498" width="6.4140625" style="2"/>
    <col min="15499" max="15499" width="6.4140625" style="1"/>
    <col min="15500" max="15500" width="6.4140625" style="2"/>
    <col min="15501" max="15501" width="6.4140625" style="3"/>
    <col min="15502" max="15502" width="6.4140625" style="2"/>
    <col min="15503" max="15503" width="6.4140625" style="3"/>
    <col min="15504" max="15505" width="6.4140625" style="2"/>
    <col min="15506" max="15506" width="6.4140625" style="1"/>
    <col min="15507" max="15507" width="6.4140625" style="2"/>
    <col min="15508" max="15508" width="6.4140625" style="3"/>
    <col min="15509" max="15509" width="6.4140625" style="2"/>
    <col min="15510" max="15510" width="6.4140625" style="3"/>
    <col min="15511" max="15512" width="6.4140625" style="2"/>
    <col min="15513" max="15513" width="6.4140625" style="1"/>
    <col min="15514" max="15514" width="6.4140625" style="2"/>
    <col min="15515" max="15515" width="6.4140625" style="3"/>
    <col min="15516" max="15516" width="6.4140625" style="2"/>
    <col min="15517" max="15517" width="6.4140625" style="3"/>
    <col min="15518" max="15519" width="6.4140625" style="2"/>
    <col min="15520" max="15520" width="6.4140625" style="1"/>
    <col min="15521" max="15521" width="6.4140625" style="2"/>
    <col min="15522" max="15522" width="6.4140625" style="3"/>
    <col min="15523" max="15523" width="6.4140625" style="2"/>
    <col min="15524" max="15524" width="6.4140625" style="3"/>
    <col min="15525" max="15526" width="6.4140625" style="2"/>
    <col min="15527" max="15527" width="6.4140625" style="1"/>
    <col min="15528" max="15528" width="6.4140625" style="2"/>
    <col min="15529" max="15529" width="6.4140625" style="3"/>
    <col min="15530" max="15530" width="6.4140625" style="2"/>
    <col min="15531" max="15531" width="6.4140625" style="3"/>
    <col min="15532" max="15533" width="6.4140625" style="2"/>
    <col min="15534" max="15534" width="6.4140625" style="1"/>
    <col min="15535" max="15535" width="6.4140625" style="2"/>
    <col min="15536" max="15536" width="6.4140625" style="3"/>
    <col min="15537" max="15537" width="6.4140625" style="2"/>
    <col min="15538" max="15538" width="6.4140625" style="3"/>
    <col min="15539" max="15540" width="6.4140625" style="2"/>
    <col min="15541" max="15541" width="6.4140625" style="1"/>
    <col min="15542" max="15542" width="6.4140625" style="2"/>
    <col min="15543" max="15543" width="6.4140625" style="3"/>
    <col min="15544" max="15544" width="6.4140625" style="2"/>
    <col min="15545" max="15545" width="6.4140625" style="3"/>
    <col min="15546" max="15547" width="6.4140625" style="2"/>
    <col min="15548" max="15548" width="6.4140625" style="1"/>
    <col min="15549" max="15549" width="6.4140625" style="2"/>
    <col min="15550" max="15550" width="6.4140625" style="3"/>
    <col min="15551" max="15551" width="6.4140625" style="2"/>
    <col min="15552" max="15552" width="6.4140625" style="3"/>
    <col min="15553" max="15554" width="6.4140625" style="2"/>
    <col min="15555" max="15555" width="6.4140625" style="1"/>
    <col min="15556" max="15556" width="6.4140625" style="2"/>
    <col min="15557" max="15557" width="6.4140625" style="3"/>
    <col min="15558" max="15558" width="6.4140625" style="2"/>
    <col min="15559" max="15559" width="6.4140625" style="3"/>
    <col min="15560" max="15561" width="6.4140625" style="2"/>
    <col min="15562" max="15562" width="6.4140625" style="1"/>
    <col min="15563" max="15563" width="6.4140625" style="2"/>
    <col min="15564" max="15564" width="6.4140625" style="3"/>
    <col min="15565" max="15565" width="6.4140625" style="2"/>
    <col min="15566" max="15566" width="6.4140625" style="3"/>
    <col min="15567" max="15568" width="6.4140625" style="2"/>
    <col min="15569" max="15569" width="6.4140625" style="1"/>
    <col min="15570" max="15570" width="6.4140625" style="2"/>
    <col min="15571" max="15571" width="6.4140625" style="3"/>
    <col min="15572" max="15572" width="6.4140625" style="2"/>
    <col min="15573" max="15573" width="6.4140625" style="3"/>
    <col min="15574" max="15575" width="6.4140625" style="2"/>
    <col min="15576" max="15576" width="6.4140625" style="1"/>
    <col min="15577" max="15577" width="6.4140625" style="2"/>
    <col min="15578" max="15578" width="6.4140625" style="3"/>
    <col min="15579" max="15579" width="6.4140625" style="2"/>
    <col min="15580" max="15580" width="6.4140625" style="3"/>
    <col min="15581" max="15582" width="6.4140625" style="2"/>
    <col min="15583" max="15583" width="6.4140625" style="1"/>
    <col min="15584" max="15584" width="6.4140625" style="2"/>
    <col min="15585" max="15585" width="6.4140625" style="3"/>
    <col min="15586" max="15586" width="6.4140625" style="2"/>
    <col min="15587" max="15587" width="6.4140625" style="3"/>
    <col min="15588" max="15589" width="6.4140625" style="2"/>
    <col min="15590" max="15590" width="6.4140625" style="1"/>
    <col min="15591" max="15591" width="6.4140625" style="2"/>
    <col min="15592" max="15592" width="6.4140625" style="3"/>
    <col min="15593" max="15593" width="6.4140625" style="2"/>
    <col min="15594" max="15594" width="6.4140625" style="3"/>
    <col min="15595" max="15596" width="6.4140625" style="2"/>
    <col min="15597" max="15597" width="6.4140625" style="1"/>
    <col min="15598" max="15598" width="6.4140625" style="2"/>
    <col min="15599" max="15599" width="6.4140625" style="3"/>
    <col min="15600" max="15600" width="6.4140625" style="2"/>
    <col min="15601" max="15601" width="6.4140625" style="3"/>
    <col min="15602" max="15603" width="6.4140625" style="2"/>
    <col min="15604" max="15604" width="6.4140625" style="1"/>
    <col min="15605" max="15605" width="6.4140625" style="2"/>
    <col min="15606" max="15606" width="6.4140625" style="3"/>
    <col min="15607" max="15607" width="6.4140625" style="2"/>
    <col min="15608" max="15608" width="6.4140625" style="3"/>
    <col min="15609" max="15610" width="6.4140625" style="2"/>
    <col min="15611" max="15611" width="6.4140625" style="1"/>
    <col min="15612" max="15612" width="6.4140625" style="2"/>
    <col min="15613" max="15613" width="6.4140625" style="3"/>
    <col min="15614" max="15614" width="6.4140625" style="2"/>
    <col min="15615" max="15615" width="6.4140625" style="3"/>
    <col min="15616" max="15617" width="6.4140625" style="2"/>
    <col min="15618" max="15618" width="6.4140625" style="1"/>
    <col min="15619" max="15619" width="6.4140625" style="2"/>
    <col min="15620" max="15620" width="6.4140625" style="3"/>
    <col min="15621" max="15621" width="6.4140625" style="2"/>
    <col min="15622" max="15622" width="6.4140625" style="3"/>
    <col min="15623" max="15624" width="6.4140625" style="2"/>
    <col min="15625" max="15625" width="6.4140625" style="1"/>
    <col min="15626" max="15626" width="6.4140625" style="2"/>
    <col min="15627" max="15627" width="6.4140625" style="3"/>
    <col min="15628" max="15628" width="6.4140625" style="2"/>
    <col min="15629" max="15629" width="6.4140625" style="3"/>
    <col min="15630" max="15631" width="6.4140625" style="2"/>
    <col min="15632" max="15632" width="6.4140625" style="1"/>
    <col min="15633" max="15633" width="6.4140625" style="2"/>
    <col min="15634" max="15634" width="6.4140625" style="3"/>
    <col min="15635" max="15635" width="6.4140625" style="2"/>
    <col min="15636" max="15636" width="6.4140625" style="3"/>
    <col min="15637" max="15638" width="6.4140625" style="2"/>
    <col min="15639" max="15639" width="6.4140625" style="1"/>
    <col min="15640" max="15640" width="6.4140625" style="2"/>
    <col min="15641" max="15641" width="6.4140625" style="3"/>
    <col min="15642" max="15642" width="6.4140625" style="2"/>
    <col min="15643" max="15643" width="6.4140625" style="3"/>
    <col min="15644" max="15645" width="6.4140625" style="2"/>
    <col min="15646" max="15646" width="6.4140625" style="1"/>
    <col min="15647" max="15647" width="6.4140625" style="2"/>
    <col min="15648" max="15648" width="6.4140625" style="3"/>
    <col min="15649" max="15649" width="6.4140625" style="2"/>
    <col min="15650" max="15650" width="6.4140625" style="3"/>
    <col min="15651" max="15652" width="6.4140625" style="2"/>
    <col min="15653" max="15653" width="6.4140625" style="1"/>
    <col min="15654" max="15654" width="6.4140625" style="2"/>
    <col min="15655" max="15655" width="6.4140625" style="3"/>
    <col min="15656" max="15656" width="6.4140625" style="2"/>
    <col min="15657" max="15657" width="6.4140625" style="3"/>
    <col min="15658" max="15659" width="6.4140625" style="2"/>
    <col min="15660" max="15660" width="6.4140625" style="1"/>
    <col min="15661" max="15661" width="6.4140625" style="2"/>
    <col min="15662" max="15662" width="6.4140625" style="3"/>
    <col min="15663" max="15663" width="6.4140625" style="2"/>
    <col min="15664" max="15664" width="6.4140625" style="3"/>
    <col min="15665" max="15666" width="6.4140625" style="2"/>
    <col min="15667" max="15667" width="6.4140625" style="1"/>
    <col min="15668" max="15668" width="6.4140625" style="2"/>
    <col min="15669" max="15669" width="6.4140625" style="3"/>
    <col min="15670" max="15670" width="6.4140625" style="2"/>
    <col min="15671" max="15671" width="6.4140625" style="3"/>
    <col min="15672" max="15673" width="6.4140625" style="2"/>
    <col min="15674" max="15674" width="6.4140625" style="1"/>
    <col min="15675" max="15675" width="6.4140625" style="2"/>
    <col min="15676" max="15676" width="6.4140625" style="3"/>
    <col min="15677" max="15677" width="6.4140625" style="2"/>
    <col min="15678" max="15678" width="6.4140625" style="3"/>
    <col min="15679" max="15680" width="6.4140625" style="2"/>
    <col min="15681" max="15681" width="6.4140625" style="1"/>
    <col min="15682" max="15682" width="6.4140625" style="2"/>
    <col min="15683" max="15683" width="6.4140625" style="3"/>
    <col min="15684" max="15684" width="6.4140625" style="2"/>
    <col min="15685" max="15685" width="6.4140625" style="3"/>
    <col min="15686" max="15687" width="6.4140625" style="2"/>
    <col min="15688" max="15688" width="6.4140625" style="1"/>
    <col min="15689" max="15689" width="6.4140625" style="2"/>
    <col min="15690" max="15690" width="6.4140625" style="3"/>
    <col min="15691" max="15691" width="6.4140625" style="2"/>
    <col min="15692" max="15692" width="6.4140625" style="3"/>
    <col min="15693" max="15694" width="6.4140625" style="2"/>
    <col min="15695" max="15695" width="6.4140625" style="1"/>
    <col min="15696" max="15696" width="6.4140625" style="2"/>
    <col min="15697" max="15697" width="6.4140625" style="3"/>
    <col min="15698" max="15698" width="6.4140625" style="2"/>
    <col min="15699" max="15699" width="6.4140625" style="3"/>
    <col min="15700" max="15701" width="6.4140625" style="2"/>
    <col min="15702" max="15702" width="6.4140625" style="1"/>
    <col min="15703" max="15703" width="6.4140625" style="2"/>
    <col min="15704" max="15704" width="6.4140625" style="3"/>
    <col min="15705" max="15705" width="6.4140625" style="2"/>
    <col min="15706" max="15706" width="6.4140625" style="3"/>
    <col min="15707" max="15708" width="6.4140625" style="2"/>
    <col min="15709" max="15709" width="6.4140625" style="1"/>
    <col min="15710" max="15710" width="6.4140625" style="2"/>
    <col min="15711" max="15711" width="6.4140625" style="3"/>
    <col min="15712" max="15712" width="6.4140625" style="2"/>
    <col min="15713" max="15713" width="6.4140625" style="3"/>
    <col min="15714" max="15715" width="6.4140625" style="2"/>
    <col min="15716" max="15716" width="6.4140625" style="1"/>
    <col min="15717" max="15717" width="6.4140625" style="2"/>
    <col min="15718" max="15718" width="6.4140625" style="3"/>
    <col min="15719" max="15719" width="6.4140625" style="2"/>
    <col min="15720" max="15720" width="6.4140625" style="3"/>
    <col min="15721" max="15722" width="6.4140625" style="2"/>
    <col min="15723" max="15723" width="6.4140625" style="1"/>
    <col min="15724" max="15724" width="6.4140625" style="2"/>
    <col min="15725" max="15725" width="6.4140625" style="3"/>
    <col min="15726" max="15726" width="6.4140625" style="2"/>
    <col min="15727" max="15727" width="6.4140625" style="3"/>
    <col min="15728" max="15729" width="6.4140625" style="2"/>
    <col min="15730" max="15730" width="6.4140625" style="1"/>
    <col min="15731" max="15731" width="6.4140625" style="2"/>
    <col min="15732" max="15732" width="6.4140625" style="3"/>
    <col min="15733" max="15733" width="6.4140625" style="2"/>
    <col min="15734" max="15734" width="6.4140625" style="3"/>
    <col min="15735" max="15736" width="6.4140625" style="2"/>
    <col min="15737" max="15737" width="6.4140625" style="1"/>
    <col min="15738" max="15738" width="6.4140625" style="2"/>
    <col min="15739" max="15739" width="6.4140625" style="3"/>
    <col min="15740" max="15740" width="6.4140625" style="2"/>
    <col min="15741" max="15741" width="6.4140625" style="3"/>
    <col min="15742" max="15743" width="6.4140625" style="2"/>
    <col min="15744" max="15744" width="6.4140625" style="1"/>
    <col min="15745" max="15745" width="6.4140625" style="2"/>
    <col min="15746" max="15746" width="6.4140625" style="3"/>
    <col min="15747" max="15747" width="6.4140625" style="2"/>
    <col min="15748" max="15748" width="6.4140625" style="3"/>
    <col min="15749" max="15750" width="6.4140625" style="2"/>
    <col min="15751" max="15751" width="6.4140625" style="1"/>
    <col min="15752" max="15752" width="6.4140625" style="2"/>
    <col min="15753" max="15753" width="6.4140625" style="3"/>
    <col min="15754" max="15754" width="6.4140625" style="2"/>
    <col min="15755" max="15755" width="6.4140625" style="3"/>
    <col min="15756" max="15757" width="6.4140625" style="2"/>
    <col min="15758" max="15758" width="6.4140625" style="1"/>
    <col min="15759" max="15759" width="6.4140625" style="2"/>
    <col min="15760" max="15760" width="6.4140625" style="3"/>
    <col min="15761" max="15761" width="6.4140625" style="2"/>
    <col min="15762" max="15762" width="6.4140625" style="3"/>
    <col min="15763" max="15764" width="6.4140625" style="2"/>
    <col min="15765" max="15765" width="6.4140625" style="1"/>
    <col min="15766" max="15766" width="6.4140625" style="2"/>
    <col min="15767" max="15767" width="6.4140625" style="3"/>
    <col min="15768" max="15768" width="6.4140625" style="2"/>
    <col min="15769" max="15769" width="6.4140625" style="3"/>
    <col min="15770" max="15771" width="6.4140625" style="2"/>
    <col min="15772" max="15772" width="6.4140625" style="1"/>
    <col min="15773" max="15773" width="6.4140625" style="2"/>
    <col min="15774" max="15774" width="6.4140625" style="3"/>
    <col min="15775" max="15775" width="6.4140625" style="2"/>
    <col min="15776" max="15776" width="6.4140625" style="3"/>
    <col min="15777" max="15778" width="6.4140625" style="2"/>
    <col min="15779" max="15779" width="6.4140625" style="1"/>
    <col min="15780" max="15780" width="6.4140625" style="2"/>
    <col min="15781" max="15781" width="6.4140625" style="3"/>
    <col min="15782" max="15782" width="6.4140625" style="2"/>
    <col min="15783" max="15783" width="6.4140625" style="3"/>
    <col min="15784" max="15785" width="6.4140625" style="2"/>
    <col min="15786" max="15786" width="6.4140625" style="1"/>
    <col min="15787" max="15787" width="6.4140625" style="2"/>
    <col min="15788" max="15788" width="6.4140625" style="3"/>
    <col min="15789" max="15789" width="6.4140625" style="2"/>
    <col min="15790" max="15790" width="6.4140625" style="3"/>
    <col min="15791" max="15792" width="6.4140625" style="2"/>
    <col min="15793" max="15793" width="6.4140625" style="1"/>
    <col min="15794" max="15794" width="6.4140625" style="2"/>
    <col min="15795" max="15795" width="6.4140625" style="3"/>
    <col min="15796" max="15796" width="6.4140625" style="2"/>
    <col min="15797" max="15797" width="6.4140625" style="3"/>
    <col min="15798" max="15799" width="6.4140625" style="2"/>
    <col min="15800" max="15800" width="6.4140625" style="1"/>
    <col min="15801" max="15801" width="6.4140625" style="2"/>
    <col min="15802" max="15802" width="6.4140625" style="3"/>
    <col min="15803" max="15803" width="6.4140625" style="2"/>
    <col min="15804" max="15804" width="6.4140625" style="3"/>
    <col min="15805" max="15806" width="6.4140625" style="2"/>
    <col min="15807" max="15807" width="6.4140625" style="1"/>
    <col min="15808" max="15808" width="6.4140625" style="2"/>
    <col min="15809" max="15809" width="6.4140625" style="3"/>
    <col min="15810" max="15810" width="6.4140625" style="2"/>
    <col min="15811" max="15811" width="6.4140625" style="3"/>
    <col min="15812" max="15813" width="6.4140625" style="2"/>
    <col min="15814" max="15814" width="6.4140625" style="1"/>
    <col min="15815" max="15815" width="6.4140625" style="2"/>
    <col min="15816" max="15816" width="6.4140625" style="3"/>
    <col min="15817" max="15817" width="6.4140625" style="2"/>
    <col min="15818" max="15818" width="6.4140625" style="3"/>
    <col min="15819" max="15820" width="6.4140625" style="2"/>
    <col min="15821" max="15821" width="6.4140625" style="1"/>
    <col min="15822" max="15822" width="6.4140625" style="2"/>
    <col min="15823" max="15823" width="6.4140625" style="3"/>
    <col min="15824" max="15824" width="6.4140625" style="2"/>
    <col min="15825" max="15825" width="6.4140625" style="3"/>
    <col min="15826" max="15827" width="6.4140625" style="2"/>
    <col min="15828" max="15828" width="6.4140625" style="1"/>
    <col min="15829" max="15829" width="6.4140625" style="2"/>
    <col min="15830" max="15830" width="6.4140625" style="3"/>
    <col min="15831" max="15831" width="6.4140625" style="2"/>
    <col min="15832" max="15832" width="6.4140625" style="3"/>
    <col min="15833" max="15834" width="6.4140625" style="2"/>
    <col min="15835" max="15835" width="6.4140625" style="1"/>
    <col min="15836" max="15836" width="6.4140625" style="2"/>
    <col min="15837" max="15837" width="6.4140625" style="3"/>
    <col min="15838" max="15838" width="6.4140625" style="2"/>
    <col min="15839" max="15839" width="6.4140625" style="3"/>
    <col min="15840" max="15841" width="6.4140625" style="2"/>
    <col min="15842" max="15842" width="6.4140625" style="1"/>
    <col min="15843" max="15843" width="6.4140625" style="2"/>
    <col min="15844" max="15844" width="6.4140625" style="3"/>
    <col min="15845" max="15845" width="6.4140625" style="2"/>
    <col min="15846" max="15846" width="6.4140625" style="3"/>
    <col min="15847" max="15848" width="6.4140625" style="2"/>
    <col min="15849" max="15849" width="6.4140625" style="1"/>
    <col min="15850" max="15850" width="6.4140625" style="2"/>
    <col min="15851" max="15851" width="6.4140625" style="3"/>
    <col min="15852" max="15852" width="6.4140625" style="2"/>
    <col min="15853" max="15853" width="6.4140625" style="3"/>
    <col min="15854" max="15855" width="6.4140625" style="2"/>
    <col min="15856" max="15856" width="6.4140625" style="1"/>
    <col min="15857" max="15857" width="6.4140625" style="2"/>
    <col min="15858" max="15858" width="6.4140625" style="3"/>
    <col min="15859" max="15859" width="6.4140625" style="2"/>
    <col min="15860" max="15860" width="6.4140625" style="3"/>
    <col min="15861" max="15862" width="6.4140625" style="2"/>
    <col min="15863" max="15863" width="6.4140625" style="1"/>
    <col min="15864" max="15864" width="6.4140625" style="2"/>
    <col min="15865" max="15865" width="6.4140625" style="3"/>
    <col min="15866" max="15866" width="6.4140625" style="2"/>
    <col min="15867" max="15867" width="6.4140625" style="3"/>
    <col min="15868" max="15869" width="6.4140625" style="2"/>
    <col min="15870" max="15870" width="6.4140625" style="1"/>
    <col min="15871" max="15871" width="6.4140625" style="2"/>
    <col min="15872" max="15872" width="6.4140625" style="3"/>
    <col min="15873" max="15873" width="6.4140625" style="2"/>
    <col min="15874" max="15874" width="6.4140625" style="3"/>
    <col min="15875" max="15876" width="6.4140625" style="2"/>
    <col min="15877" max="15877" width="6.4140625" style="1"/>
    <col min="15878" max="15878" width="6.4140625" style="2"/>
    <col min="15879" max="15879" width="6.4140625" style="3"/>
    <col min="15880" max="15880" width="6.4140625" style="2"/>
    <col min="15881" max="15881" width="6.4140625" style="3"/>
    <col min="15882" max="15883" width="6.4140625" style="2"/>
    <col min="15884" max="15884" width="6.4140625" style="1"/>
    <col min="15885" max="15885" width="6.4140625" style="2"/>
    <col min="15886" max="15886" width="6.4140625" style="3"/>
    <col min="15887" max="15887" width="6.4140625" style="2"/>
    <col min="15888" max="15888" width="6.4140625" style="3"/>
    <col min="15889" max="15890" width="6.4140625" style="2"/>
    <col min="15891" max="15891" width="6.4140625" style="1"/>
    <col min="15892" max="15892" width="6.4140625" style="2"/>
    <col min="15893" max="15893" width="6.4140625" style="3"/>
    <col min="15894" max="15894" width="6.4140625" style="2"/>
    <col min="15895" max="15895" width="6.4140625" style="3"/>
    <col min="15896" max="15897" width="6.4140625" style="2"/>
    <col min="15898" max="15898" width="6.4140625" style="1"/>
    <col min="15899" max="15899" width="6.4140625" style="2"/>
    <col min="15900" max="15900" width="6.4140625" style="3"/>
    <col min="15901" max="15901" width="6.4140625" style="2"/>
    <col min="15902" max="15902" width="6.4140625" style="3"/>
    <col min="15903" max="15904" width="6.4140625" style="2"/>
    <col min="15905" max="15905" width="6.4140625" style="1"/>
    <col min="15906" max="15906" width="6.4140625" style="2"/>
    <col min="15907" max="15907" width="6.4140625" style="3"/>
    <col min="15908" max="15908" width="6.4140625" style="2"/>
    <col min="15909" max="15909" width="6.4140625" style="3"/>
    <col min="15910" max="15911" width="6.4140625" style="2"/>
    <col min="15912" max="15912" width="6.4140625" style="1"/>
    <col min="15913" max="15913" width="6.4140625" style="2"/>
    <col min="15914" max="15914" width="6.4140625" style="3"/>
    <col min="15915" max="15915" width="6.4140625" style="2"/>
    <col min="15916" max="15916" width="6.4140625" style="3"/>
    <col min="15917" max="15918" width="6.4140625" style="2"/>
    <col min="15919" max="15919" width="6.4140625" style="1"/>
    <col min="15920" max="15920" width="6.4140625" style="2"/>
    <col min="15921" max="15921" width="6.4140625" style="3"/>
    <col min="15922" max="15922" width="6.4140625" style="2"/>
    <col min="15923" max="15923" width="6.4140625" style="3"/>
    <col min="15924" max="15925" width="6.4140625" style="2"/>
    <col min="15926" max="15926" width="6.4140625" style="1"/>
    <col min="15927" max="15927" width="6.4140625" style="2"/>
    <col min="15928" max="15928" width="6.4140625" style="3"/>
    <col min="15929" max="15929" width="6.4140625" style="2"/>
    <col min="15930" max="15930" width="6.4140625" style="3"/>
    <col min="15931" max="15932" width="6.4140625" style="2"/>
    <col min="15933" max="15933" width="6.4140625" style="1"/>
    <col min="15934" max="15934" width="6.4140625" style="2"/>
    <col min="15935" max="15935" width="6.4140625" style="3"/>
    <col min="15936" max="15936" width="6.4140625" style="2"/>
    <col min="15937" max="15937" width="6.4140625" style="3"/>
    <col min="15938" max="15939" width="6.4140625" style="2"/>
    <col min="15940" max="15940" width="6.4140625" style="1"/>
    <col min="15941" max="15941" width="6.4140625" style="2"/>
    <col min="15942" max="15942" width="6.4140625" style="3"/>
    <col min="15943" max="15943" width="6.4140625" style="2"/>
    <col min="15944" max="15944" width="6.4140625" style="3"/>
    <col min="15945" max="15946" width="6.4140625" style="2"/>
    <col min="15947" max="15947" width="6.4140625" style="1"/>
    <col min="15948" max="15948" width="6.4140625" style="2"/>
    <col min="15949" max="15949" width="6.4140625" style="3"/>
    <col min="15950" max="15950" width="6.4140625" style="2"/>
    <col min="15951" max="15951" width="6.4140625" style="3"/>
    <col min="15952" max="15953" width="6.4140625" style="2"/>
    <col min="15954" max="15954" width="6.4140625" style="1"/>
    <col min="15955" max="15955" width="6.4140625" style="2"/>
    <col min="15956" max="15956" width="6.4140625" style="3"/>
    <col min="15957" max="15957" width="6.4140625" style="2"/>
    <col min="15958" max="15958" width="6.4140625" style="3"/>
    <col min="15959" max="15960" width="6.4140625" style="2"/>
    <col min="15961" max="15961" width="6.4140625" style="1"/>
    <col min="15962" max="15962" width="6.4140625" style="2"/>
    <col min="15963" max="15963" width="6.4140625" style="3"/>
    <col min="15964" max="15964" width="6.4140625" style="2"/>
    <col min="15965" max="15965" width="6.4140625" style="3"/>
    <col min="15966" max="15967" width="6.4140625" style="2"/>
    <col min="15968" max="15968" width="6.4140625" style="1"/>
    <col min="15969" max="15969" width="6.4140625" style="2"/>
    <col min="15970" max="15970" width="6.4140625" style="3"/>
    <col min="15971" max="15971" width="6.4140625" style="2"/>
    <col min="15972" max="15972" width="6.4140625" style="3"/>
    <col min="15973" max="15974" width="6.4140625" style="2"/>
    <col min="15975" max="15975" width="6.4140625" style="1"/>
    <col min="15976" max="15976" width="6.4140625" style="2"/>
    <col min="15977" max="15977" width="6.4140625" style="3"/>
    <col min="15978" max="15978" width="6.4140625" style="2"/>
    <col min="15979" max="15979" width="6.4140625" style="3"/>
    <col min="15980" max="15981" width="6.4140625" style="2"/>
    <col min="15982" max="15982" width="6.4140625" style="1"/>
    <col min="15983" max="15983" width="6.4140625" style="2"/>
    <col min="15984" max="15984" width="6.4140625" style="3"/>
    <col min="15985" max="15985" width="6.4140625" style="2"/>
    <col min="15986" max="15986" width="6.4140625" style="3"/>
    <col min="15987" max="15988" width="6.4140625" style="2"/>
    <col min="15989" max="15989" width="6.4140625" style="1"/>
    <col min="15990" max="15990" width="6.4140625" style="2"/>
    <col min="15991" max="15991" width="6.4140625" style="3"/>
    <col min="15992" max="15992" width="6.4140625" style="2"/>
    <col min="15993" max="15993" width="6.4140625" style="3"/>
    <col min="15994" max="15995" width="6.4140625" style="2"/>
    <col min="15996" max="15996" width="6.4140625" style="1"/>
    <col min="15997" max="15997" width="6.4140625" style="2"/>
    <col min="15998" max="15998" width="6.4140625" style="3"/>
    <col min="15999" max="15999" width="6.4140625" style="2"/>
    <col min="16000" max="16000" width="6.4140625" style="3"/>
    <col min="16001" max="16002" width="6.4140625" style="2"/>
    <col min="16003" max="16003" width="6.4140625" style="1"/>
    <col min="16004" max="16004" width="6.4140625" style="2"/>
    <col min="16005" max="16005" width="6.4140625" style="3"/>
    <col min="16006" max="16006" width="6.4140625" style="2"/>
    <col min="16007" max="16007" width="6.4140625" style="3"/>
    <col min="16008" max="16009" width="6.4140625" style="2"/>
    <col min="16010" max="16010" width="6.4140625" style="1"/>
    <col min="16011" max="16011" width="6.4140625" style="2"/>
    <col min="16012" max="16012" width="6.4140625" style="3"/>
    <col min="16013" max="16013" width="6.4140625" style="2"/>
    <col min="16014" max="16014" width="6.4140625" style="3"/>
    <col min="16015" max="16016" width="6.4140625" style="2"/>
    <col min="16017" max="16017" width="6.4140625" style="1"/>
    <col min="16018" max="16018" width="6.4140625" style="2"/>
    <col min="16019" max="16019" width="6.4140625" style="3"/>
    <col min="16020" max="16020" width="6.4140625" style="2"/>
    <col min="16021" max="16021" width="6.4140625" style="3"/>
    <col min="16022" max="16023" width="6.4140625" style="2"/>
    <col min="16024" max="16024" width="6.4140625" style="1"/>
    <col min="16025" max="16025" width="6.4140625" style="2"/>
    <col min="16026" max="16026" width="6.4140625" style="3"/>
    <col min="16027" max="16027" width="6.4140625" style="2"/>
    <col min="16028" max="16028" width="6.4140625" style="3"/>
    <col min="16029" max="16030" width="6.4140625" style="2"/>
    <col min="16031" max="16031" width="6.4140625" style="1"/>
    <col min="16032" max="16032" width="6.4140625" style="2"/>
    <col min="16033" max="16033" width="6.4140625" style="3"/>
    <col min="16034" max="16034" width="6.4140625" style="2"/>
    <col min="16035" max="16035" width="6.4140625" style="3"/>
    <col min="16036" max="16037" width="6.4140625" style="2"/>
    <col min="16038" max="16038" width="6.4140625" style="1"/>
    <col min="16039" max="16039" width="6.4140625" style="2"/>
    <col min="16040" max="16040" width="6.4140625" style="3"/>
    <col min="16041" max="16041" width="6.4140625" style="2"/>
    <col min="16042" max="16042" width="6.4140625" style="3"/>
    <col min="16043" max="16044" width="6.4140625" style="2"/>
    <col min="16045" max="16045" width="6.4140625" style="1"/>
    <col min="16046" max="16046" width="6.4140625" style="2"/>
    <col min="16047" max="16047" width="6.4140625" style="3"/>
    <col min="16048" max="16048" width="6.4140625" style="2"/>
    <col min="16049" max="16049" width="6.4140625" style="3"/>
    <col min="16050" max="16051" width="6.4140625" style="2"/>
    <col min="16052" max="16052" width="6.4140625" style="1"/>
    <col min="16053" max="16053" width="6.4140625" style="2"/>
    <col min="16054" max="16054" width="6.4140625" style="3"/>
    <col min="16055" max="16055" width="6.4140625" style="2"/>
    <col min="16056" max="16056" width="6.4140625" style="3"/>
    <col min="16057" max="16058" width="6.4140625" style="2"/>
    <col min="16059" max="16059" width="6.4140625" style="1"/>
    <col min="16060" max="16060" width="6.4140625" style="2"/>
    <col min="16061" max="16061" width="6.4140625" style="3"/>
    <col min="16062" max="16062" width="6.4140625" style="2"/>
    <col min="16063" max="16063" width="6.4140625" style="3"/>
    <col min="16064" max="16065" width="6.4140625" style="2"/>
    <col min="16066" max="16066" width="6.4140625" style="1"/>
    <col min="16067" max="16067" width="6.4140625" style="2"/>
    <col min="16068" max="16068" width="6.4140625" style="3"/>
    <col min="16069" max="16069" width="6.4140625" style="2"/>
    <col min="16070" max="16070" width="6.4140625" style="3"/>
    <col min="16071" max="16072" width="6.4140625" style="2"/>
    <col min="16073" max="16073" width="6.4140625" style="1"/>
    <col min="16074" max="16074" width="6.4140625" style="2"/>
    <col min="16075" max="16075" width="6.4140625" style="3"/>
    <col min="16076" max="16076" width="6.4140625" style="2"/>
    <col min="16077" max="16077" width="6.4140625" style="3"/>
    <col min="16078" max="16079" width="6.4140625" style="2"/>
    <col min="16080" max="16080" width="6.4140625" style="1"/>
    <col min="16081" max="16081" width="6.4140625" style="2"/>
    <col min="16082" max="16082" width="6.4140625" style="3"/>
    <col min="16083" max="16083" width="6.4140625" style="2"/>
    <col min="16084" max="16084" width="6.4140625" style="3"/>
    <col min="16085" max="16086" width="6.4140625" style="2"/>
    <col min="16087" max="16087" width="6.4140625" style="1"/>
    <col min="16088" max="16088" width="6.4140625" style="2"/>
    <col min="16089" max="16089" width="6.4140625" style="3"/>
    <col min="16090" max="16090" width="6.4140625" style="2"/>
    <col min="16091" max="16091" width="6.4140625" style="3"/>
    <col min="16092" max="16093" width="6.4140625" style="2"/>
    <col min="16094" max="16094" width="6.4140625" style="1"/>
    <col min="16095" max="16095" width="6.4140625" style="2"/>
    <col min="16096" max="16096" width="6.4140625" style="3"/>
    <col min="16097" max="16097" width="6.4140625" style="2"/>
    <col min="16098" max="16098" width="6.4140625" style="3"/>
    <col min="16099" max="16100" width="6.4140625" style="2"/>
    <col min="16101" max="16101" width="6.4140625" style="1"/>
    <col min="16102" max="16102" width="6.4140625" style="2"/>
    <col min="16103" max="16103" width="6.4140625" style="3"/>
    <col min="16104" max="16104" width="6.4140625" style="2"/>
    <col min="16105" max="16105" width="6.4140625" style="3"/>
    <col min="16106" max="16107" width="6.4140625" style="2"/>
    <col min="16108" max="16108" width="6.4140625" style="1"/>
    <col min="16109" max="16109" width="6.4140625" style="2"/>
    <col min="16110" max="16110" width="6.4140625" style="3"/>
    <col min="16111" max="16111" width="6.4140625" style="2"/>
    <col min="16112" max="16112" width="6.4140625" style="3"/>
    <col min="16113" max="16114" width="6.4140625" style="2"/>
    <col min="16115" max="16115" width="6.4140625" style="1"/>
    <col min="16116" max="16116" width="6.4140625" style="2"/>
    <col min="16117" max="16117" width="6.4140625" style="3"/>
    <col min="16118" max="16118" width="6.4140625" style="2"/>
    <col min="16119" max="16119" width="6.4140625" style="3"/>
    <col min="16120" max="16121" width="6.4140625" style="2"/>
    <col min="16122" max="16122" width="6.4140625" style="1"/>
    <col min="16123" max="16123" width="6.4140625" style="2"/>
    <col min="16124" max="16124" width="6.4140625" style="3"/>
    <col min="16125" max="16125" width="6.4140625" style="2"/>
    <col min="16126" max="16126" width="6.4140625" style="3"/>
    <col min="16127" max="16128" width="6.4140625" style="2"/>
    <col min="16129" max="16129" width="6.4140625" style="1"/>
    <col min="16130" max="16130" width="6.4140625" style="2"/>
    <col min="16131" max="16131" width="6.4140625" style="3"/>
    <col min="16132" max="16132" width="6.4140625" style="2"/>
    <col min="16133" max="16133" width="6.4140625" style="3"/>
    <col min="16134" max="16135" width="6.4140625" style="2"/>
    <col min="16136" max="16136" width="6.4140625" style="1"/>
    <col min="16137" max="16137" width="6.4140625" style="2"/>
    <col min="16138" max="16138" width="6.4140625" style="3"/>
    <col min="16139" max="16139" width="6.4140625" style="2"/>
    <col min="16140" max="16140" width="6.4140625" style="3"/>
    <col min="16141" max="16142" width="6.4140625" style="2"/>
    <col min="16143" max="16143" width="6.4140625" style="1"/>
    <col min="16144" max="16144" width="6.4140625" style="2"/>
    <col min="16145" max="16145" width="6.4140625" style="3"/>
    <col min="16146" max="16146" width="6.4140625" style="2"/>
    <col min="16147" max="16147" width="6.4140625" style="3"/>
    <col min="16148" max="16149" width="6.4140625" style="2"/>
    <col min="16150" max="16150" width="6.4140625" style="1"/>
    <col min="16151" max="16151" width="6.4140625" style="2"/>
    <col min="16152" max="16152" width="6.4140625" style="3"/>
    <col min="16153" max="16153" width="6.4140625" style="2"/>
    <col min="16154" max="16154" width="6.4140625" style="3"/>
    <col min="16155" max="16156" width="6.4140625" style="2"/>
    <col min="16157" max="16157" width="6.4140625" style="1"/>
    <col min="16158" max="16158" width="6.4140625" style="2"/>
    <col min="16159" max="16159" width="6.4140625" style="3"/>
    <col min="16160" max="16160" width="6.4140625" style="2"/>
    <col min="16161" max="16161" width="6.4140625" style="3"/>
    <col min="16162" max="16163" width="6.4140625" style="2"/>
    <col min="16164" max="16164" width="6.4140625" style="1"/>
    <col min="16165" max="16165" width="6.4140625" style="2"/>
    <col min="16166" max="16166" width="6.4140625" style="3"/>
    <col min="16167" max="16167" width="6.4140625" style="2"/>
    <col min="16168" max="16168" width="6.4140625" style="3"/>
    <col min="16169" max="16170" width="6.4140625" style="2"/>
    <col min="16171" max="16171" width="6.4140625" style="1"/>
    <col min="16172" max="16172" width="6.4140625" style="2"/>
    <col min="16173" max="16173" width="6.4140625" style="3"/>
    <col min="16174" max="16174" width="6.4140625" style="2"/>
    <col min="16175" max="16175" width="6.4140625" style="3"/>
    <col min="16176" max="16177" width="6.4140625" style="2"/>
    <col min="16178" max="16178" width="6.4140625" style="1"/>
    <col min="16179" max="16179" width="6.4140625" style="2"/>
    <col min="16180" max="16180" width="6.4140625" style="3"/>
    <col min="16181" max="16181" width="6.4140625" style="2"/>
    <col min="16182" max="16182" width="6.4140625" style="3"/>
    <col min="16183" max="16184" width="6.4140625" style="2"/>
    <col min="16185" max="16185" width="6.4140625" style="1"/>
    <col min="16186" max="16186" width="6.4140625" style="2"/>
    <col min="16187" max="16187" width="6.4140625" style="3"/>
    <col min="16188" max="16188" width="6.4140625" style="2"/>
    <col min="16189" max="16189" width="6.4140625" style="3"/>
    <col min="16190" max="16191" width="6.4140625" style="2"/>
    <col min="16192" max="16192" width="6.4140625" style="1"/>
    <col min="16193" max="16193" width="6.4140625" style="2"/>
    <col min="16194" max="16194" width="6.4140625" style="3"/>
    <col min="16195" max="16195" width="6.4140625" style="2"/>
    <col min="16196" max="16196" width="6.4140625" style="3"/>
    <col min="16197" max="16198" width="6.4140625" style="2"/>
    <col min="16199" max="16199" width="6.4140625" style="1"/>
    <col min="16200" max="16200" width="6.4140625" style="2"/>
    <col min="16201" max="16201" width="6.4140625" style="3"/>
    <col min="16202" max="16202" width="6.4140625" style="2"/>
    <col min="16203" max="16203" width="6.4140625" style="3"/>
    <col min="16204" max="16205" width="6.4140625" style="2"/>
    <col min="16206" max="16206" width="6.4140625" style="1"/>
    <col min="16207" max="16207" width="6.4140625" style="2"/>
    <col min="16208" max="16208" width="6.4140625" style="3"/>
    <col min="16209" max="16209" width="6.4140625" style="2"/>
    <col min="16210" max="16210" width="6.4140625" style="3"/>
    <col min="16211" max="16212" width="6.4140625" style="2"/>
    <col min="16213" max="16213" width="6.4140625" style="1"/>
    <col min="16214" max="16214" width="6.4140625" style="2"/>
    <col min="16215" max="16215" width="6.4140625" style="3"/>
    <col min="16216" max="16216" width="6.4140625" style="2"/>
    <col min="16217" max="16217" width="6.4140625" style="3"/>
    <col min="16218" max="16219" width="6.4140625" style="2"/>
    <col min="16220" max="16220" width="6.4140625" style="1"/>
    <col min="16221" max="16221" width="6.4140625" style="2"/>
    <col min="16222" max="16222" width="6.4140625" style="3"/>
    <col min="16223" max="16223" width="6.4140625" style="2"/>
    <col min="16224" max="16224" width="6.4140625" style="3"/>
    <col min="16225" max="16226" width="6.4140625" style="2"/>
    <col min="16227" max="16227" width="6.4140625" style="1"/>
    <col min="16228" max="16228" width="6.4140625" style="2"/>
    <col min="16229" max="16229" width="6.4140625" style="3"/>
    <col min="16230" max="16230" width="6.4140625" style="2"/>
    <col min="16231" max="16231" width="6.4140625" style="3"/>
    <col min="16232" max="16233" width="6.4140625" style="2"/>
    <col min="16234" max="16234" width="6.4140625" style="1"/>
    <col min="16235" max="16235" width="6.4140625" style="2"/>
    <col min="16236" max="16236" width="6.4140625" style="3"/>
    <col min="16237" max="16237" width="6.4140625" style="2"/>
    <col min="16238" max="16238" width="6.4140625" style="3"/>
    <col min="16239" max="16240" width="6.4140625" style="2"/>
    <col min="16241" max="16241" width="6.4140625" style="1"/>
    <col min="16242" max="16242" width="6.4140625" style="2"/>
    <col min="16243" max="16243" width="6.4140625" style="3"/>
    <col min="16244" max="16244" width="6.4140625" style="2"/>
    <col min="16245" max="16245" width="6.4140625" style="3"/>
    <col min="16246" max="16247" width="6.4140625" style="2"/>
    <col min="16248" max="16248" width="6.4140625" style="1"/>
    <col min="16249" max="16249" width="6.4140625" style="2"/>
    <col min="16250" max="16250" width="6.4140625" style="3"/>
    <col min="16251" max="16251" width="6.4140625" style="2"/>
    <col min="16252" max="16252" width="6.4140625" style="3"/>
    <col min="16253" max="16254" width="6.4140625" style="2"/>
    <col min="16255" max="16255" width="6.4140625" style="1"/>
    <col min="16256" max="16256" width="6.4140625" style="2"/>
    <col min="16257" max="16257" width="6.4140625" style="3"/>
    <col min="16258" max="16258" width="6.4140625" style="2"/>
    <col min="16259" max="16259" width="6.4140625" style="3"/>
    <col min="16260" max="16261" width="6.4140625" style="2"/>
    <col min="16262" max="16262" width="6.4140625" style="1"/>
    <col min="16263" max="16263" width="6.4140625" style="2"/>
    <col min="16264" max="16264" width="6.4140625" style="3"/>
    <col min="16265" max="16265" width="6.4140625" style="2"/>
    <col min="16266" max="16266" width="6.4140625" style="3"/>
    <col min="16267" max="16268" width="6.4140625" style="2"/>
    <col min="16269" max="16269" width="6.4140625" style="1"/>
    <col min="16270" max="16270" width="6.4140625" style="2"/>
    <col min="16271" max="16271" width="6.4140625" style="3"/>
    <col min="16272" max="16272" width="6.4140625" style="2"/>
    <col min="16273" max="16273" width="6.4140625" style="3"/>
    <col min="16274" max="16275" width="6.4140625" style="2"/>
    <col min="16276" max="16276" width="6.4140625" style="1"/>
    <col min="16277" max="16277" width="6.4140625" style="2"/>
    <col min="16278" max="16278" width="6.4140625" style="3"/>
    <col min="16279" max="16279" width="6.4140625" style="2"/>
    <col min="16280" max="16280" width="6.4140625" style="3"/>
    <col min="16281" max="16282" width="6.4140625" style="2"/>
    <col min="16283" max="16283" width="6.4140625" style="1"/>
    <col min="16284" max="16284" width="6.4140625" style="2"/>
    <col min="16285" max="16285" width="6.4140625" style="3"/>
    <col min="16286" max="16286" width="6.4140625" style="2"/>
    <col min="16287" max="16287" width="6.4140625" style="3"/>
    <col min="16288" max="16289" width="6.4140625" style="2"/>
    <col min="16290" max="16290" width="6.4140625" style="1"/>
    <col min="16291" max="16291" width="6.4140625" style="2"/>
    <col min="16292" max="16292" width="6.4140625" style="3"/>
    <col min="16293" max="16293" width="6.4140625" style="2"/>
    <col min="16294" max="16294" width="6.4140625" style="3"/>
    <col min="16295" max="16296" width="6.4140625" style="2"/>
    <col min="16297" max="16297" width="6.4140625" style="1"/>
    <col min="16298" max="16298" width="6.4140625" style="2"/>
    <col min="16299" max="16299" width="6.4140625" style="3"/>
    <col min="16300" max="16300" width="6.4140625" style="2"/>
    <col min="16301" max="16301" width="6.4140625" style="3"/>
    <col min="16302" max="16303" width="6.4140625" style="2"/>
    <col min="16304" max="16304" width="6.4140625" style="1"/>
    <col min="16305" max="16305" width="6.4140625" style="2"/>
    <col min="16306" max="16306" width="6.4140625" style="3"/>
    <col min="16307" max="16307" width="6.4140625" style="2"/>
    <col min="16308" max="16308" width="6.4140625" style="3"/>
    <col min="16309" max="16310" width="6.4140625" style="2"/>
    <col min="16311" max="16311" width="6.4140625" style="1"/>
    <col min="16312" max="16312" width="6.4140625" style="2"/>
    <col min="16313" max="16313" width="6.4140625" style="3"/>
    <col min="16314" max="16314" width="6.4140625" style="2"/>
    <col min="16315" max="16315" width="6.4140625" style="3"/>
    <col min="16316" max="16317" width="6.4140625" style="2"/>
    <col min="16318" max="16318" width="6.4140625" style="1"/>
    <col min="16319" max="16319" width="6.4140625" style="2"/>
    <col min="16320" max="16320" width="6.4140625" style="3"/>
    <col min="16321" max="16321" width="6.4140625" style="2"/>
    <col min="16322" max="16322" width="6.4140625" style="3"/>
    <col min="16323" max="16324" width="6.4140625" style="2"/>
    <col min="16325" max="16325" width="6.4140625" style="1"/>
    <col min="16326" max="16326" width="6.4140625" style="2"/>
    <col min="16327" max="16327" width="6.4140625" style="3"/>
    <col min="16328" max="16328" width="6.4140625" style="2"/>
    <col min="16329" max="16329" width="6.4140625" style="3"/>
    <col min="16330" max="16331" width="6.4140625" style="2"/>
    <col min="16332" max="16332" width="6.4140625" style="1"/>
    <col min="16333" max="16333" width="6.4140625" style="2"/>
    <col min="16334" max="16334" width="6.4140625" style="3"/>
    <col min="16335" max="16335" width="6.4140625" style="2"/>
    <col min="16336" max="16336" width="6.4140625" style="3"/>
    <col min="16337" max="16338" width="6.4140625" style="2"/>
    <col min="16339" max="16339" width="6.4140625" style="1"/>
    <col min="16340" max="16340" width="6.4140625" style="2"/>
    <col min="16341" max="16341" width="6.4140625" style="3"/>
    <col min="16342" max="16342" width="6.4140625" style="2"/>
    <col min="16343" max="16343" width="6.4140625" style="3"/>
    <col min="16344" max="16345" width="6.4140625" style="2"/>
    <col min="16346" max="16346" width="6.4140625" style="1"/>
    <col min="16347" max="16347" width="6.4140625" style="2"/>
    <col min="16348" max="16348" width="6.4140625" style="3"/>
    <col min="16349" max="16349" width="6.4140625" style="2"/>
    <col min="16350" max="16350" width="6.4140625" style="3"/>
    <col min="16351" max="16352" width="6.4140625" style="2"/>
    <col min="16353" max="16353" width="6.4140625" style="1"/>
    <col min="16354" max="16354" width="6.4140625" style="2"/>
    <col min="16355" max="16355" width="6.4140625" style="3"/>
    <col min="16356" max="16356" width="6.4140625" style="2"/>
    <col min="16357" max="16357" width="6.4140625" style="3"/>
    <col min="16358" max="16359" width="6.4140625" style="2"/>
    <col min="16360" max="16360" width="6.4140625" style="1"/>
    <col min="16361" max="16361" width="6.4140625" style="2"/>
    <col min="16362" max="16362" width="6.4140625" style="3"/>
    <col min="16363" max="16363" width="6.4140625" style="2"/>
    <col min="16364" max="16364" width="6.4140625" style="3"/>
    <col min="16365" max="16366" width="6.4140625" style="2"/>
    <col min="16367" max="16367" width="6.4140625" style="1"/>
    <col min="16368" max="16368" width="6.4140625" style="2"/>
    <col min="16369" max="16369" width="6.4140625" style="3"/>
    <col min="16370" max="16370" width="6.4140625" style="2"/>
    <col min="16371" max="16371" width="6.4140625" style="3"/>
    <col min="16372" max="16373" width="6.4140625" style="2"/>
    <col min="16374" max="16374" width="6.4140625" style="1"/>
    <col min="16375" max="16375" width="6.4140625" style="2"/>
    <col min="16376" max="16376" width="6.4140625" style="3"/>
    <col min="16377" max="16377" width="6.4140625" style="2"/>
    <col min="16378" max="16378" width="6.4140625" style="3"/>
    <col min="16379" max="16380" width="6.4140625" style="2"/>
    <col min="16381" max="16381" width="6.4140625" style="1"/>
    <col min="16382" max="16382" width="6.4140625" style="2"/>
    <col min="16383" max="16383" width="6.4140625" style="3"/>
    <col min="16384" max="16384" width="6.4140625" style="2"/>
  </cols>
  <sheetData>
    <row r="1" spans="1:11" ht="31">
      <c r="A1" s="1" t="s">
        <v>72</v>
      </c>
      <c r="B1" s="2" t="s">
        <v>73</v>
      </c>
      <c r="C1" s="3" t="s">
        <v>3</v>
      </c>
      <c r="D1" s="2" t="s">
        <v>11</v>
      </c>
      <c r="E1" s="3" t="s">
        <v>5</v>
      </c>
      <c r="F1" s="2" t="s">
        <v>12</v>
      </c>
      <c r="G1" s="2" t="s">
        <v>7</v>
      </c>
      <c r="H1" s="2" t="s">
        <v>8</v>
      </c>
      <c r="I1" s="2" t="s">
        <v>74</v>
      </c>
      <c r="J1" s="3" t="s">
        <v>75</v>
      </c>
      <c r="K1" s="2" t="s">
        <v>76</v>
      </c>
    </row>
    <row r="2" spans="1:11" ht="108.5">
      <c r="A2" s="1">
        <v>1</v>
      </c>
      <c r="B2" s="2" t="s">
        <v>19</v>
      </c>
      <c r="C2" s="3" t="s">
        <v>77</v>
      </c>
      <c r="D2" s="2" t="s">
        <v>78</v>
      </c>
      <c r="E2" s="3">
        <v>20</v>
      </c>
      <c r="F2" s="2" t="s">
        <v>79</v>
      </c>
      <c r="G2" s="2" t="s">
        <v>80</v>
      </c>
      <c r="H2" s="2" t="s">
        <v>81</v>
      </c>
      <c r="I2" s="2" t="s">
        <v>2</v>
      </c>
      <c r="J2" s="3" t="s">
        <v>2</v>
      </c>
      <c r="K2" s="2" t="s">
        <v>82</v>
      </c>
    </row>
    <row r="3" spans="1:11" ht="108.5">
      <c r="A3" s="1">
        <v>2</v>
      </c>
      <c r="B3" s="2" t="s">
        <v>19</v>
      </c>
      <c r="C3" s="3" t="s">
        <v>83</v>
      </c>
      <c r="D3" s="2" t="s">
        <v>84</v>
      </c>
      <c r="E3" s="3">
        <v>20</v>
      </c>
      <c r="F3" s="2" t="s">
        <v>85</v>
      </c>
      <c r="G3" s="2" t="s">
        <v>80</v>
      </c>
      <c r="H3" s="2" t="s">
        <v>81</v>
      </c>
      <c r="I3" s="2" t="s">
        <v>2</v>
      </c>
      <c r="J3" s="3" t="s">
        <v>2</v>
      </c>
      <c r="K3" s="2" t="s">
        <v>86</v>
      </c>
    </row>
    <row r="4" spans="1:11" ht="108.5">
      <c r="A4" s="1">
        <v>3</v>
      </c>
      <c r="B4" s="2" t="s">
        <v>19</v>
      </c>
      <c r="C4" s="3" t="s">
        <v>87</v>
      </c>
      <c r="D4" s="2" t="s">
        <v>88</v>
      </c>
      <c r="E4" s="3">
        <v>20</v>
      </c>
      <c r="F4" s="2" t="s">
        <v>89</v>
      </c>
      <c r="G4" s="2" t="s">
        <v>80</v>
      </c>
      <c r="H4" s="2" t="s">
        <v>81</v>
      </c>
      <c r="I4" s="2" t="s">
        <v>90</v>
      </c>
      <c r="J4" s="3" t="s">
        <v>2</v>
      </c>
      <c r="K4" s="2" t="s">
        <v>91</v>
      </c>
    </row>
    <row r="5" spans="1:11" ht="124">
      <c r="A5" s="1">
        <v>4</v>
      </c>
      <c r="B5" s="2" t="s">
        <v>19</v>
      </c>
      <c r="C5" s="3" t="s">
        <v>92</v>
      </c>
      <c r="D5" s="2" t="s">
        <v>93</v>
      </c>
      <c r="E5" s="3">
        <v>48</v>
      </c>
      <c r="F5" s="2" t="s">
        <v>94</v>
      </c>
      <c r="G5" s="2" t="s">
        <v>80</v>
      </c>
      <c r="H5" s="2" t="s">
        <v>81</v>
      </c>
      <c r="I5" s="2" t="s">
        <v>25</v>
      </c>
      <c r="J5" s="3" t="s">
        <v>2</v>
      </c>
      <c r="K5" s="2" t="s">
        <v>95</v>
      </c>
    </row>
    <row r="6" spans="1:11" ht="139.5">
      <c r="A6" s="1">
        <v>5</v>
      </c>
      <c r="B6" s="2" t="s">
        <v>19</v>
      </c>
      <c r="C6" s="3" t="s">
        <v>96</v>
      </c>
      <c r="D6" s="2" t="s">
        <v>97</v>
      </c>
      <c r="E6" s="3">
        <v>10</v>
      </c>
      <c r="F6" s="2" t="s">
        <v>98</v>
      </c>
      <c r="G6" s="2" t="s">
        <v>80</v>
      </c>
      <c r="H6" s="2" t="s">
        <v>81</v>
      </c>
      <c r="I6" s="2" t="s">
        <v>25</v>
      </c>
      <c r="J6" s="3" t="s">
        <v>2</v>
      </c>
      <c r="K6" s="2" t="s">
        <v>99</v>
      </c>
    </row>
    <row r="7" spans="1:11" ht="108.5">
      <c r="A7" s="1">
        <v>3</v>
      </c>
      <c r="B7" s="2" t="s">
        <v>19</v>
      </c>
      <c r="C7" s="3" t="s">
        <v>87</v>
      </c>
      <c r="D7" s="2" t="s">
        <v>88</v>
      </c>
      <c r="E7" s="3">
        <v>20</v>
      </c>
      <c r="F7" s="2" t="s">
        <v>89</v>
      </c>
      <c r="G7" s="2" t="s">
        <v>80</v>
      </c>
      <c r="H7" s="2" t="s">
        <v>81</v>
      </c>
      <c r="I7" s="2" t="s">
        <v>2</v>
      </c>
      <c r="J7" s="3" t="s">
        <v>2</v>
      </c>
      <c r="K7" s="2" t="s">
        <v>91</v>
      </c>
    </row>
    <row r="8" spans="1:11" ht="124">
      <c r="A8" s="1">
        <v>4</v>
      </c>
      <c r="B8" s="2" t="s">
        <v>19</v>
      </c>
      <c r="C8" s="3" t="s">
        <v>92</v>
      </c>
      <c r="D8" s="2" t="s">
        <v>93</v>
      </c>
      <c r="E8" s="3">
        <v>48</v>
      </c>
      <c r="F8" s="2" t="s">
        <v>94</v>
      </c>
      <c r="G8" s="2" t="s">
        <v>80</v>
      </c>
      <c r="H8" s="2" t="s">
        <v>81</v>
      </c>
      <c r="I8" s="2" t="s">
        <v>2</v>
      </c>
      <c r="J8" s="3" t="s">
        <v>2</v>
      </c>
      <c r="K8" s="2" t="s">
        <v>95</v>
      </c>
    </row>
    <row r="9" spans="1:11" ht="139.5">
      <c r="A9" s="1">
        <v>5</v>
      </c>
      <c r="B9" s="2" t="s">
        <v>19</v>
      </c>
      <c r="C9" s="3" t="s">
        <v>96</v>
      </c>
      <c r="D9" s="2" t="s">
        <v>97</v>
      </c>
      <c r="E9" s="3">
        <v>10</v>
      </c>
      <c r="F9" s="2" t="s">
        <v>98</v>
      </c>
      <c r="G9" s="2" t="s">
        <v>80</v>
      </c>
      <c r="H9" s="2" t="s">
        <v>81</v>
      </c>
      <c r="I9" s="2" t="s">
        <v>2</v>
      </c>
      <c r="J9" s="3" t="s">
        <v>2</v>
      </c>
      <c r="K9" s="2" t="s">
        <v>99</v>
      </c>
    </row>
    <row r="10" spans="1:11" ht="124">
      <c r="A10" s="1">
        <v>8</v>
      </c>
      <c r="B10" s="2" t="s">
        <v>23</v>
      </c>
      <c r="C10" s="3" t="s">
        <v>30</v>
      </c>
      <c r="D10" s="2" t="s">
        <v>100</v>
      </c>
      <c r="E10" s="3">
        <v>19</v>
      </c>
      <c r="F10" s="2" t="s">
        <v>101</v>
      </c>
      <c r="G10" s="2" t="s">
        <v>80</v>
      </c>
      <c r="H10" s="2" t="s">
        <v>102</v>
      </c>
      <c r="I10" s="2" t="s">
        <v>2</v>
      </c>
      <c r="K10" s="2" t="s">
        <v>103</v>
      </c>
    </row>
    <row r="11" spans="1:11" ht="124">
      <c r="A11" s="1">
        <v>9</v>
      </c>
      <c r="B11" s="2" t="s">
        <v>23</v>
      </c>
      <c r="C11" s="3" t="s">
        <v>26</v>
      </c>
      <c r="D11" s="2" t="s">
        <v>104</v>
      </c>
      <c r="E11" s="3">
        <v>10</v>
      </c>
      <c r="F11" s="2" t="s">
        <v>105</v>
      </c>
      <c r="G11" s="2" t="s">
        <v>80</v>
      </c>
      <c r="H11" s="2" t="s">
        <v>106</v>
      </c>
      <c r="I11" s="2" t="s">
        <v>2</v>
      </c>
      <c r="K11" s="2" t="s">
        <v>107</v>
      </c>
    </row>
    <row r="12" spans="1:11" ht="124">
      <c r="A12" s="1">
        <v>10</v>
      </c>
      <c r="B12" s="2" t="s">
        <v>23</v>
      </c>
      <c r="C12" s="3" t="s">
        <v>108</v>
      </c>
      <c r="D12" s="2" t="s">
        <v>109</v>
      </c>
      <c r="E12" s="3">
        <v>19</v>
      </c>
      <c r="F12" s="2" t="s">
        <v>110</v>
      </c>
      <c r="G12" s="2" t="s">
        <v>80</v>
      </c>
      <c r="H12" s="2" t="s">
        <v>106</v>
      </c>
      <c r="I12" s="2" t="s">
        <v>2</v>
      </c>
      <c r="K12" s="2" t="s">
        <v>111</v>
      </c>
    </row>
    <row r="13" spans="1:11" ht="155">
      <c r="A13" s="1">
        <v>11</v>
      </c>
      <c r="B13" s="2" t="s">
        <v>23</v>
      </c>
      <c r="C13" s="3" t="s">
        <v>33</v>
      </c>
      <c r="D13" s="2" t="s">
        <v>112</v>
      </c>
      <c r="E13" s="3">
        <v>10</v>
      </c>
      <c r="F13" s="2" t="s">
        <v>113</v>
      </c>
      <c r="G13" s="2" t="s">
        <v>80</v>
      </c>
      <c r="H13" s="2" t="s">
        <v>114</v>
      </c>
      <c r="I13" s="2" t="s">
        <v>2</v>
      </c>
      <c r="K13" s="2" t="s">
        <v>115</v>
      </c>
    </row>
    <row r="14" spans="1:11" ht="93">
      <c r="A14" s="1">
        <v>12</v>
      </c>
      <c r="B14" s="2" t="s">
        <v>23</v>
      </c>
      <c r="C14" s="3" t="s">
        <v>116</v>
      </c>
      <c r="D14" s="2" t="s">
        <v>117</v>
      </c>
      <c r="E14" s="3">
        <v>14</v>
      </c>
      <c r="F14" s="2" t="s">
        <v>118</v>
      </c>
      <c r="G14" s="2" t="s">
        <v>80</v>
      </c>
      <c r="H14" s="2" t="s">
        <v>119</v>
      </c>
      <c r="I14" s="2" t="s">
        <v>25</v>
      </c>
      <c r="K14" s="2" t="s">
        <v>120</v>
      </c>
    </row>
    <row r="15" spans="1:11" ht="77.5">
      <c r="A15" s="1">
        <v>13</v>
      </c>
      <c r="B15" s="2" t="s">
        <v>23</v>
      </c>
      <c r="C15" s="3" t="s">
        <v>121</v>
      </c>
      <c r="D15" s="2" t="s">
        <v>122</v>
      </c>
      <c r="E15" s="3">
        <v>13</v>
      </c>
      <c r="F15" s="2" t="s">
        <v>118</v>
      </c>
      <c r="G15" s="2" t="s">
        <v>80</v>
      </c>
      <c r="H15" s="2" t="s">
        <v>119</v>
      </c>
      <c r="I15" s="2" t="s">
        <v>25</v>
      </c>
      <c r="K15" s="2" t="s">
        <v>123</v>
      </c>
    </row>
    <row r="16" spans="1:11" ht="93">
      <c r="A16" s="1">
        <v>14</v>
      </c>
      <c r="B16" s="2" t="s">
        <v>23</v>
      </c>
      <c r="C16" s="3" t="s">
        <v>124</v>
      </c>
      <c r="D16" s="2" t="s">
        <v>122</v>
      </c>
      <c r="E16" s="3">
        <v>13</v>
      </c>
      <c r="F16" s="2" t="s">
        <v>118</v>
      </c>
      <c r="G16" s="2" t="s">
        <v>80</v>
      </c>
      <c r="H16" s="2" t="s">
        <v>119</v>
      </c>
      <c r="I16" s="2" t="s">
        <v>25</v>
      </c>
      <c r="K16" s="2" t="s">
        <v>125</v>
      </c>
    </row>
    <row r="17" spans="1:11" ht="108.5">
      <c r="A17" s="1">
        <v>15</v>
      </c>
      <c r="B17" s="2" t="s">
        <v>23</v>
      </c>
      <c r="C17" s="3" t="s">
        <v>126</v>
      </c>
      <c r="D17" s="2" t="s">
        <v>122</v>
      </c>
      <c r="E17" s="3">
        <v>14</v>
      </c>
      <c r="F17" s="2" t="s">
        <v>118</v>
      </c>
      <c r="G17" s="2" t="s">
        <v>80</v>
      </c>
      <c r="H17" s="2" t="s">
        <v>119</v>
      </c>
      <c r="I17" s="2" t="s">
        <v>25</v>
      </c>
      <c r="K17" s="2" t="s">
        <v>127</v>
      </c>
    </row>
    <row r="18" spans="1:11" ht="108.5">
      <c r="A18" s="1">
        <v>16</v>
      </c>
      <c r="B18" s="2" t="s">
        <v>23</v>
      </c>
      <c r="C18" s="3" t="s">
        <v>128</v>
      </c>
      <c r="D18" s="2" t="s">
        <v>122</v>
      </c>
      <c r="E18" s="3">
        <v>13</v>
      </c>
      <c r="F18" s="2" t="s">
        <v>118</v>
      </c>
      <c r="G18" s="2" t="s">
        <v>80</v>
      </c>
      <c r="H18" s="2" t="s">
        <v>119</v>
      </c>
      <c r="I18" s="2" t="s">
        <v>25</v>
      </c>
      <c r="K18" s="2" t="s">
        <v>129</v>
      </c>
    </row>
    <row r="19" spans="1:11" ht="93">
      <c r="A19" s="1">
        <v>12</v>
      </c>
      <c r="B19" s="2" t="s">
        <v>23</v>
      </c>
      <c r="C19" s="3" t="s">
        <v>116</v>
      </c>
      <c r="D19" s="2" t="s">
        <v>117</v>
      </c>
      <c r="E19" s="3">
        <v>14</v>
      </c>
      <c r="F19" s="2" t="s">
        <v>118</v>
      </c>
      <c r="G19" s="2" t="s">
        <v>80</v>
      </c>
      <c r="H19" s="2" t="s">
        <v>119</v>
      </c>
      <c r="I19" s="2" t="s">
        <v>2</v>
      </c>
      <c r="K19" s="2" t="s">
        <v>120</v>
      </c>
    </row>
    <row r="20" spans="1:11" ht="77.5">
      <c r="A20" s="1">
        <v>13</v>
      </c>
      <c r="B20" s="2" t="s">
        <v>23</v>
      </c>
      <c r="C20" s="3" t="s">
        <v>121</v>
      </c>
      <c r="D20" s="2" t="s">
        <v>122</v>
      </c>
      <c r="E20" s="3">
        <v>13</v>
      </c>
      <c r="F20" s="2" t="s">
        <v>118</v>
      </c>
      <c r="G20" s="2" t="s">
        <v>80</v>
      </c>
      <c r="H20" s="2" t="s">
        <v>119</v>
      </c>
      <c r="I20" s="2" t="s">
        <v>2</v>
      </c>
      <c r="K20" s="2" t="s">
        <v>123</v>
      </c>
    </row>
    <row r="21" spans="1:11" ht="93">
      <c r="A21" s="1">
        <v>14</v>
      </c>
      <c r="B21" s="2" t="s">
        <v>23</v>
      </c>
      <c r="C21" s="3" t="s">
        <v>124</v>
      </c>
      <c r="D21" s="2" t="s">
        <v>122</v>
      </c>
      <c r="E21" s="3">
        <v>13</v>
      </c>
      <c r="F21" s="2" t="s">
        <v>118</v>
      </c>
      <c r="G21" s="2" t="s">
        <v>80</v>
      </c>
      <c r="H21" s="2" t="s">
        <v>119</v>
      </c>
      <c r="I21" s="2" t="s">
        <v>2</v>
      </c>
      <c r="K21" s="2" t="s">
        <v>125</v>
      </c>
    </row>
    <row r="22" spans="1:11" ht="108.5">
      <c r="A22" s="1">
        <v>15</v>
      </c>
      <c r="B22" s="2" t="s">
        <v>23</v>
      </c>
      <c r="C22" s="3" t="s">
        <v>126</v>
      </c>
      <c r="D22" s="2" t="s">
        <v>122</v>
      </c>
      <c r="E22" s="3">
        <v>14</v>
      </c>
      <c r="F22" s="2" t="s">
        <v>118</v>
      </c>
      <c r="G22" s="2" t="s">
        <v>80</v>
      </c>
      <c r="H22" s="2" t="s">
        <v>119</v>
      </c>
      <c r="I22" s="2" t="s">
        <v>2</v>
      </c>
      <c r="K22" s="2" t="s">
        <v>127</v>
      </c>
    </row>
    <row r="23" spans="1:11" ht="108.5">
      <c r="A23" s="1">
        <v>16</v>
      </c>
      <c r="B23" s="2" t="s">
        <v>23</v>
      </c>
      <c r="C23" s="3" t="s">
        <v>128</v>
      </c>
      <c r="D23" s="2" t="s">
        <v>122</v>
      </c>
      <c r="E23" s="3">
        <v>13</v>
      </c>
      <c r="F23" s="2" t="s">
        <v>118</v>
      </c>
      <c r="G23" s="2" t="s">
        <v>80</v>
      </c>
      <c r="H23" s="2" t="s">
        <v>119</v>
      </c>
      <c r="I23" s="2" t="s">
        <v>2</v>
      </c>
      <c r="K23" s="2" t="s">
        <v>129</v>
      </c>
    </row>
    <row r="24" spans="1:11" ht="108.5">
      <c r="A24" s="1">
        <v>17</v>
      </c>
      <c r="B24" s="2" t="s">
        <v>28</v>
      </c>
      <c r="C24" s="3" t="s">
        <v>130</v>
      </c>
      <c r="D24" s="2" t="s">
        <v>22</v>
      </c>
      <c r="E24" s="3">
        <v>40</v>
      </c>
      <c r="F24" s="2" t="s">
        <v>24</v>
      </c>
      <c r="G24" s="2" t="s">
        <v>80</v>
      </c>
      <c r="H24" s="2" t="s">
        <v>131</v>
      </c>
      <c r="I24" s="2" t="s">
        <v>25</v>
      </c>
      <c r="K24" s="2" t="s">
        <v>132</v>
      </c>
    </row>
    <row r="25" spans="1:11" ht="62">
      <c r="A25" s="1">
        <v>17</v>
      </c>
      <c r="B25" s="2" t="s">
        <v>133</v>
      </c>
      <c r="D25" s="2" t="s">
        <v>27</v>
      </c>
      <c r="F25" s="2" t="s">
        <v>24</v>
      </c>
      <c r="I25" s="2" t="s">
        <v>25</v>
      </c>
    </row>
    <row r="26" spans="1:11" ht="93">
      <c r="A26" s="1">
        <v>18</v>
      </c>
      <c r="B26" s="2" t="s">
        <v>32</v>
      </c>
      <c r="C26" s="3" t="s">
        <v>134</v>
      </c>
      <c r="D26" s="2" t="s">
        <v>31</v>
      </c>
      <c r="F26" s="2" t="s">
        <v>29</v>
      </c>
      <c r="G26" s="2" t="s">
        <v>135</v>
      </c>
      <c r="H26" s="2" t="s">
        <v>136</v>
      </c>
      <c r="I26" s="2" t="s">
        <v>25</v>
      </c>
      <c r="K26" s="2" t="s">
        <v>120</v>
      </c>
    </row>
    <row r="27" spans="1:11" ht="126">
      <c r="A27" s="1">
        <v>19</v>
      </c>
      <c r="B27" s="2" t="s">
        <v>32</v>
      </c>
      <c r="C27" s="3" t="s">
        <v>137</v>
      </c>
      <c r="D27" s="2" t="s">
        <v>138</v>
      </c>
      <c r="F27" s="2" t="s">
        <v>29</v>
      </c>
      <c r="G27" s="2" t="s">
        <v>135</v>
      </c>
      <c r="H27" s="2" t="s">
        <v>139</v>
      </c>
      <c r="I27" s="2" t="s">
        <v>25</v>
      </c>
      <c r="K27" s="2" t="s">
        <v>140</v>
      </c>
    </row>
    <row r="28" spans="1:11" ht="108.5">
      <c r="A28" s="1">
        <v>20</v>
      </c>
      <c r="B28" s="2" t="s">
        <v>32</v>
      </c>
      <c r="C28" s="3" t="s">
        <v>141</v>
      </c>
      <c r="D28" s="2" t="s">
        <v>142</v>
      </c>
      <c r="F28" s="2" t="s">
        <v>29</v>
      </c>
      <c r="G28" s="2" t="s">
        <v>135</v>
      </c>
      <c r="H28" s="2" t="s">
        <v>143</v>
      </c>
      <c r="I28" s="2" t="s">
        <v>2</v>
      </c>
      <c r="K28" s="2" t="s">
        <v>129</v>
      </c>
    </row>
    <row r="29" spans="1:11" ht="77.5">
      <c r="A29" s="1">
        <v>21</v>
      </c>
      <c r="B29" s="2" t="s">
        <v>32</v>
      </c>
      <c r="C29" s="3" t="s">
        <v>144</v>
      </c>
      <c r="D29" s="2" t="s">
        <v>145</v>
      </c>
      <c r="F29" s="2" t="s">
        <v>29</v>
      </c>
      <c r="G29" s="2" t="s">
        <v>135</v>
      </c>
      <c r="H29" s="2" t="s">
        <v>146</v>
      </c>
      <c r="I29" s="2" t="s">
        <v>2</v>
      </c>
      <c r="K29" s="2" t="s">
        <v>147</v>
      </c>
    </row>
    <row r="30" spans="1:11" ht="77.5">
      <c r="A30" s="1">
        <v>22</v>
      </c>
      <c r="B30" s="2" t="s">
        <v>32</v>
      </c>
      <c r="C30" s="3" t="s">
        <v>148</v>
      </c>
      <c r="D30" s="2" t="s">
        <v>145</v>
      </c>
      <c r="F30" s="2" t="s">
        <v>29</v>
      </c>
      <c r="G30" s="2" t="s">
        <v>135</v>
      </c>
      <c r="H30" s="2" t="s">
        <v>146</v>
      </c>
      <c r="I30" s="2" t="s">
        <v>2</v>
      </c>
      <c r="K30" s="2" t="s">
        <v>149</v>
      </c>
    </row>
    <row r="31" spans="1:11" ht="144">
      <c r="A31" s="1">
        <v>23</v>
      </c>
      <c r="B31" s="2" t="s">
        <v>32</v>
      </c>
      <c r="C31" s="3" t="s">
        <v>150</v>
      </c>
      <c r="D31" s="2" t="s">
        <v>151</v>
      </c>
      <c r="F31" s="2" t="s">
        <v>29</v>
      </c>
      <c r="G31" s="2" t="s">
        <v>135</v>
      </c>
      <c r="H31" s="2" t="s">
        <v>152</v>
      </c>
      <c r="I31" s="2" t="s">
        <v>25</v>
      </c>
      <c r="K31" s="2" t="s">
        <v>123</v>
      </c>
    </row>
    <row r="32" spans="1:11" ht="77.5">
      <c r="A32" s="1">
        <v>24</v>
      </c>
      <c r="B32" s="2" t="s">
        <v>32</v>
      </c>
      <c r="C32" s="3" t="s">
        <v>153</v>
      </c>
      <c r="D32" s="2" t="s">
        <v>154</v>
      </c>
      <c r="F32" s="2" t="s">
        <v>29</v>
      </c>
      <c r="G32" s="2" t="s">
        <v>135</v>
      </c>
      <c r="H32" s="2" t="s">
        <v>155</v>
      </c>
      <c r="I32" s="2" t="s">
        <v>2</v>
      </c>
      <c r="K32" s="2" t="s">
        <v>156</v>
      </c>
    </row>
    <row r="33" spans="1:11" ht="93">
      <c r="A33" s="1">
        <v>25</v>
      </c>
      <c r="B33" s="2" t="s">
        <v>32</v>
      </c>
      <c r="C33" s="3" t="s">
        <v>157</v>
      </c>
      <c r="D33" s="2" t="s">
        <v>158</v>
      </c>
      <c r="F33" s="2" t="s">
        <v>29</v>
      </c>
      <c r="G33" s="2" t="s">
        <v>135</v>
      </c>
      <c r="H33" s="2" t="s">
        <v>159</v>
      </c>
      <c r="I33" s="2" t="s">
        <v>25</v>
      </c>
      <c r="K33" s="2" t="s">
        <v>125</v>
      </c>
    </row>
    <row r="34" spans="1:11" ht="108.5">
      <c r="A34" s="1">
        <v>26</v>
      </c>
      <c r="B34" s="2" t="s">
        <v>32</v>
      </c>
      <c r="C34" s="3" t="s">
        <v>160</v>
      </c>
      <c r="D34" s="2" t="s">
        <v>161</v>
      </c>
      <c r="F34" s="2" t="s">
        <v>29</v>
      </c>
      <c r="G34" s="2" t="s">
        <v>135</v>
      </c>
      <c r="H34" s="2" t="s">
        <v>162</v>
      </c>
      <c r="K34" s="2" t="s">
        <v>127</v>
      </c>
    </row>
    <row r="35" spans="1:11" ht="72">
      <c r="A35" s="1">
        <v>27</v>
      </c>
      <c r="B35" s="2" t="s">
        <v>32</v>
      </c>
      <c r="C35" s="3" t="s">
        <v>163</v>
      </c>
      <c r="D35" s="2" t="s">
        <v>164</v>
      </c>
      <c r="F35" s="2" t="s">
        <v>29</v>
      </c>
      <c r="G35" s="2" t="s">
        <v>135</v>
      </c>
      <c r="H35" s="2" t="s">
        <v>165</v>
      </c>
      <c r="I35" s="2" t="s">
        <v>2</v>
      </c>
      <c r="K35" s="2" t="s">
        <v>166</v>
      </c>
    </row>
    <row r="36" spans="1:11" ht="124">
      <c r="A36" s="1">
        <v>28</v>
      </c>
      <c r="B36" s="2" t="s">
        <v>32</v>
      </c>
      <c r="C36" s="3" t="s">
        <v>167</v>
      </c>
      <c r="D36" s="2" t="s">
        <v>164</v>
      </c>
      <c r="F36" s="2" t="s">
        <v>29</v>
      </c>
      <c r="G36" s="2" t="s">
        <v>135</v>
      </c>
      <c r="H36" s="2" t="s">
        <v>168</v>
      </c>
      <c r="I36" s="2" t="s">
        <v>2</v>
      </c>
      <c r="K36" s="2" t="s">
        <v>169</v>
      </c>
    </row>
    <row r="37" spans="1:11" ht="77.5">
      <c r="A37" s="1">
        <v>29</v>
      </c>
      <c r="B37" s="2" t="s">
        <v>32</v>
      </c>
      <c r="C37" s="3" t="s">
        <v>170</v>
      </c>
      <c r="D37" s="2" t="s">
        <v>164</v>
      </c>
      <c r="F37" s="2" t="s">
        <v>29</v>
      </c>
      <c r="G37" s="2" t="s">
        <v>135</v>
      </c>
      <c r="H37" s="2" t="s">
        <v>171</v>
      </c>
      <c r="I37" s="2" t="s">
        <v>2</v>
      </c>
      <c r="K37" s="2" t="s">
        <v>172</v>
      </c>
    </row>
    <row r="38" spans="1:11" ht="126">
      <c r="A38" s="1">
        <v>30</v>
      </c>
      <c r="B38" s="2" t="s">
        <v>32</v>
      </c>
      <c r="C38" s="3" t="s">
        <v>173</v>
      </c>
      <c r="D38" s="2" t="s">
        <v>174</v>
      </c>
      <c r="F38" s="2" t="s">
        <v>29</v>
      </c>
      <c r="G38" s="2" t="s">
        <v>135</v>
      </c>
      <c r="H38" s="2" t="s">
        <v>175</v>
      </c>
      <c r="I38" s="2" t="s">
        <v>2</v>
      </c>
      <c r="K38" s="2" t="s">
        <v>107</v>
      </c>
    </row>
    <row r="39" spans="1:11" ht="124">
      <c r="A39" s="1">
        <v>31</v>
      </c>
      <c r="B39" s="2" t="s">
        <v>32</v>
      </c>
      <c r="C39" s="3" t="s">
        <v>176</v>
      </c>
      <c r="D39" s="2" t="s">
        <v>177</v>
      </c>
      <c r="F39" s="2" t="s">
        <v>29</v>
      </c>
      <c r="G39" s="2" t="s">
        <v>135</v>
      </c>
      <c r="H39" s="2" t="s">
        <v>178</v>
      </c>
      <c r="I39" s="2" t="s">
        <v>2</v>
      </c>
      <c r="K39" s="2" t="s">
        <v>179</v>
      </c>
    </row>
    <row r="40" spans="1:11" ht="170.5">
      <c r="A40" s="1">
        <v>32</v>
      </c>
      <c r="B40" s="2" t="s">
        <v>32</v>
      </c>
      <c r="C40" s="3" t="s">
        <v>180</v>
      </c>
      <c r="D40" s="2" t="s">
        <v>181</v>
      </c>
      <c r="F40" s="2" t="s">
        <v>29</v>
      </c>
      <c r="G40" s="2" t="s">
        <v>135</v>
      </c>
      <c r="H40" s="2" t="s">
        <v>182</v>
      </c>
      <c r="I40" s="2" t="s">
        <v>2</v>
      </c>
      <c r="K40" s="2" t="s">
        <v>183</v>
      </c>
    </row>
    <row r="41" spans="1:11" ht="77.5">
      <c r="A41" s="1">
        <v>33</v>
      </c>
      <c r="B41" s="2" t="s">
        <v>32</v>
      </c>
      <c r="C41" s="3" t="s">
        <v>184</v>
      </c>
      <c r="D41" s="2" t="s">
        <v>185</v>
      </c>
      <c r="F41" s="2" t="s">
        <v>29</v>
      </c>
      <c r="G41" s="2" t="s">
        <v>135</v>
      </c>
      <c r="H41" s="2" t="s">
        <v>186</v>
      </c>
      <c r="I41" s="2" t="s">
        <v>2</v>
      </c>
      <c r="K41" s="2" t="s">
        <v>103</v>
      </c>
    </row>
    <row r="42" spans="1:11" ht="108">
      <c r="A42" s="1">
        <v>34</v>
      </c>
      <c r="B42" s="2" t="s">
        <v>32</v>
      </c>
      <c r="C42" s="3" t="s">
        <v>187</v>
      </c>
      <c r="D42" s="2" t="s">
        <v>188</v>
      </c>
      <c r="F42" s="2" t="s">
        <v>29</v>
      </c>
      <c r="G42" s="2" t="s">
        <v>135</v>
      </c>
      <c r="H42" s="2" t="s">
        <v>189</v>
      </c>
      <c r="I42" s="2" t="s">
        <v>2</v>
      </c>
      <c r="K42" s="2" t="s">
        <v>190</v>
      </c>
    </row>
    <row r="43" spans="1:11" ht="108.5">
      <c r="B43" s="2" t="s">
        <v>1</v>
      </c>
      <c r="C43" s="3" t="s">
        <v>191</v>
      </c>
      <c r="D43" s="2" t="s">
        <v>192</v>
      </c>
      <c r="F43" s="2" t="s">
        <v>29</v>
      </c>
      <c r="G43" s="2" t="s">
        <v>135</v>
      </c>
      <c r="H43" s="2" t="s">
        <v>193</v>
      </c>
      <c r="I43" s="2" t="s">
        <v>25</v>
      </c>
      <c r="K43" s="2" t="s">
        <v>194</v>
      </c>
    </row>
    <row r="44" spans="1:11" ht="124.75" customHeight="1">
      <c r="B44" s="2" t="s">
        <v>1</v>
      </c>
      <c r="C44" s="3" t="s">
        <v>195</v>
      </c>
      <c r="D44" s="2" t="s">
        <v>196</v>
      </c>
      <c r="F44" s="2" t="s">
        <v>29</v>
      </c>
      <c r="G44" s="2" t="s">
        <v>135</v>
      </c>
      <c r="H44" s="2" t="s">
        <v>197</v>
      </c>
      <c r="I44" s="2" t="s">
        <v>25</v>
      </c>
      <c r="K44" s="2" t="s">
        <v>198</v>
      </c>
    </row>
    <row r="45" spans="1:11" ht="201.5">
      <c r="B45" s="2" t="s">
        <v>1</v>
      </c>
      <c r="C45" s="3" t="s">
        <v>199</v>
      </c>
      <c r="D45" s="2" t="s">
        <v>200</v>
      </c>
      <c r="F45" s="2" t="s">
        <v>29</v>
      </c>
      <c r="G45" s="2" t="s">
        <v>135</v>
      </c>
      <c r="H45" s="2" t="s">
        <v>201</v>
      </c>
      <c r="I45" s="2" t="s">
        <v>2</v>
      </c>
      <c r="K45" s="2" t="s">
        <v>202</v>
      </c>
    </row>
    <row r="46" spans="1:11" ht="126">
      <c r="B46" s="2" t="s">
        <v>1</v>
      </c>
      <c r="C46" s="3" t="s">
        <v>203</v>
      </c>
      <c r="D46" s="2" t="s">
        <v>204</v>
      </c>
      <c r="F46" s="2" t="s">
        <v>29</v>
      </c>
      <c r="G46" s="2" t="s">
        <v>135</v>
      </c>
      <c r="H46" s="2" t="s">
        <v>205</v>
      </c>
      <c r="I46" s="2" t="s">
        <v>25</v>
      </c>
      <c r="K46" s="2" t="s">
        <v>206</v>
      </c>
    </row>
    <row r="47" spans="1:11" ht="126">
      <c r="B47" s="2" t="s">
        <v>1</v>
      </c>
      <c r="C47" s="3" t="s">
        <v>207</v>
      </c>
      <c r="D47" s="2" t="s">
        <v>204</v>
      </c>
      <c r="F47" s="2" t="s">
        <v>29</v>
      </c>
      <c r="G47" s="2" t="s">
        <v>135</v>
      </c>
      <c r="H47" s="2" t="s">
        <v>208</v>
      </c>
      <c r="I47" s="2" t="s">
        <v>25</v>
      </c>
    </row>
    <row r="48" spans="1:11" ht="108">
      <c r="B48" s="2" t="s">
        <v>1</v>
      </c>
      <c r="C48" s="3" t="s">
        <v>209</v>
      </c>
      <c r="D48" s="2" t="s">
        <v>204</v>
      </c>
      <c r="F48" s="2" t="s">
        <v>29</v>
      </c>
      <c r="G48" s="2" t="s">
        <v>135</v>
      </c>
      <c r="H48" s="2" t="s">
        <v>210</v>
      </c>
      <c r="I48" s="2" t="s">
        <v>25</v>
      </c>
    </row>
    <row r="49" spans="2:11" ht="76.400000000000006" customHeight="1">
      <c r="B49" s="2" t="s">
        <v>1</v>
      </c>
      <c r="C49" s="3" t="s">
        <v>211</v>
      </c>
      <c r="D49" s="2" t="s">
        <v>71</v>
      </c>
      <c r="F49" s="2" t="s">
        <v>40</v>
      </c>
      <c r="G49" s="2" t="s">
        <v>135</v>
      </c>
      <c r="H49" s="2" t="s">
        <v>212</v>
      </c>
      <c r="I49" s="2" t="s">
        <v>25</v>
      </c>
    </row>
    <row r="50" spans="2:11" ht="36">
      <c r="B50" s="2" t="s">
        <v>1</v>
      </c>
      <c r="C50" s="3" t="s">
        <v>213</v>
      </c>
      <c r="D50" s="2" t="s">
        <v>204</v>
      </c>
      <c r="F50" s="2" t="s">
        <v>29</v>
      </c>
      <c r="G50" s="2" t="s">
        <v>135</v>
      </c>
      <c r="H50" s="2" t="s">
        <v>214</v>
      </c>
      <c r="I50" s="2" t="s">
        <v>25</v>
      </c>
    </row>
    <row r="51" spans="2:11" ht="90">
      <c r="B51" s="2" t="s">
        <v>1</v>
      </c>
      <c r="C51" s="3" t="s">
        <v>215</v>
      </c>
      <c r="D51" s="2" t="s">
        <v>216</v>
      </c>
      <c r="F51" s="2" t="s">
        <v>29</v>
      </c>
      <c r="G51" s="2" t="s">
        <v>135</v>
      </c>
      <c r="H51" s="2" t="s">
        <v>217</v>
      </c>
      <c r="I51" s="2" t="s">
        <v>2</v>
      </c>
    </row>
    <row r="52" spans="2:11" ht="90">
      <c r="B52" s="2" t="s">
        <v>1</v>
      </c>
      <c r="C52" s="3" t="s">
        <v>218</v>
      </c>
      <c r="D52" s="2" t="s">
        <v>219</v>
      </c>
      <c r="F52" s="2" t="s">
        <v>29</v>
      </c>
      <c r="G52" s="2" t="s">
        <v>135</v>
      </c>
      <c r="H52" s="2" t="s">
        <v>220</v>
      </c>
      <c r="I52" s="2" t="s">
        <v>2</v>
      </c>
    </row>
    <row r="53" spans="2:11" ht="90">
      <c r="B53" s="2" t="s">
        <v>1</v>
      </c>
      <c r="C53" s="3" t="s">
        <v>221</v>
      </c>
      <c r="D53" s="2" t="s">
        <v>222</v>
      </c>
      <c r="F53" s="2" t="s">
        <v>29</v>
      </c>
      <c r="G53" s="2" t="s">
        <v>135</v>
      </c>
      <c r="H53" s="2" t="s">
        <v>217</v>
      </c>
      <c r="I53" s="2" t="s">
        <v>2</v>
      </c>
    </row>
    <row r="54" spans="2:11" ht="72">
      <c r="B54" s="2" t="s">
        <v>1</v>
      </c>
      <c r="C54" s="3" t="s">
        <v>223</v>
      </c>
      <c r="D54" s="2" t="s">
        <v>224</v>
      </c>
      <c r="F54" s="2" t="s">
        <v>29</v>
      </c>
      <c r="G54" s="2" t="s">
        <v>135</v>
      </c>
      <c r="H54" s="2" t="s">
        <v>225</v>
      </c>
      <c r="I54" s="2" t="s">
        <v>2</v>
      </c>
    </row>
    <row r="55" spans="2:11" ht="31">
      <c r="B55" s="2" t="s">
        <v>37</v>
      </c>
      <c r="C55" s="3" t="s">
        <v>226</v>
      </c>
      <c r="D55" s="2" t="s">
        <v>227</v>
      </c>
      <c r="F55" s="2" t="s">
        <v>29</v>
      </c>
      <c r="G55" s="2" t="s">
        <v>135</v>
      </c>
      <c r="H55" s="2" t="s">
        <v>228</v>
      </c>
      <c r="I55" s="2" t="s">
        <v>25</v>
      </c>
    </row>
    <row r="56" spans="2:11" ht="124">
      <c r="B56" s="2" t="s">
        <v>37</v>
      </c>
      <c r="C56" s="3" t="s">
        <v>229</v>
      </c>
      <c r="D56" s="2" t="s">
        <v>230</v>
      </c>
      <c r="F56" s="2" t="s">
        <v>29</v>
      </c>
      <c r="G56" s="2" t="s">
        <v>135</v>
      </c>
      <c r="H56" s="2" t="s">
        <v>231</v>
      </c>
      <c r="I56" s="2" t="s">
        <v>2</v>
      </c>
      <c r="K56" s="2" t="s">
        <v>232</v>
      </c>
    </row>
    <row r="57" spans="2:11" ht="186">
      <c r="B57" s="2" t="s">
        <v>37</v>
      </c>
      <c r="C57" s="3" t="s">
        <v>233</v>
      </c>
      <c r="D57" s="2" t="s">
        <v>230</v>
      </c>
      <c r="F57" s="2" t="s">
        <v>29</v>
      </c>
      <c r="G57" s="2" t="s">
        <v>135</v>
      </c>
      <c r="H57" s="2" t="s">
        <v>234</v>
      </c>
      <c r="I57" s="2" t="s">
        <v>2</v>
      </c>
      <c r="K57" s="2" t="s">
        <v>235</v>
      </c>
    </row>
    <row r="58" spans="2:11" ht="406.25" customHeight="1">
      <c r="B58" s="2" t="s">
        <v>37</v>
      </c>
      <c r="C58" s="3" t="s">
        <v>236</v>
      </c>
      <c r="D58" s="2" t="s">
        <v>65</v>
      </c>
      <c r="F58" s="2" t="s">
        <v>29</v>
      </c>
      <c r="G58" s="2" t="s">
        <v>135</v>
      </c>
      <c r="H58" s="2" t="s">
        <v>237</v>
      </c>
      <c r="I58" s="2" t="s">
        <v>2</v>
      </c>
      <c r="K58" s="2" t="s">
        <v>238</v>
      </c>
    </row>
    <row r="59" spans="2:11" ht="315">
      <c r="B59" s="2" t="s">
        <v>37</v>
      </c>
      <c r="C59" s="3" t="s">
        <v>239</v>
      </c>
      <c r="D59" s="2" t="s">
        <v>240</v>
      </c>
      <c r="F59" s="2" t="s">
        <v>29</v>
      </c>
      <c r="G59" s="2" t="s">
        <v>135</v>
      </c>
      <c r="H59" s="2" t="s">
        <v>241</v>
      </c>
      <c r="I59" s="2" t="s">
        <v>2</v>
      </c>
      <c r="K59" s="2" t="s">
        <v>238</v>
      </c>
    </row>
    <row r="60" spans="2:11" ht="266.39999999999998" customHeight="1">
      <c r="B60" s="2" t="s">
        <v>39</v>
      </c>
      <c r="C60" s="3" t="s">
        <v>242</v>
      </c>
      <c r="D60" s="2" t="s">
        <v>243</v>
      </c>
      <c r="F60" s="2" t="s">
        <v>29</v>
      </c>
      <c r="G60" s="2" t="s">
        <v>135</v>
      </c>
      <c r="H60" s="2" t="s">
        <v>244</v>
      </c>
      <c r="I60" s="2" t="s">
        <v>2</v>
      </c>
      <c r="K60" s="2" t="s">
        <v>245</v>
      </c>
    </row>
    <row r="61" spans="2:11" ht="210">
      <c r="B61" s="2" t="s">
        <v>39</v>
      </c>
      <c r="C61" s="3" t="s">
        <v>246</v>
      </c>
      <c r="D61" s="2" t="s">
        <v>243</v>
      </c>
      <c r="F61" s="2" t="s">
        <v>29</v>
      </c>
      <c r="G61" s="2" t="s">
        <v>135</v>
      </c>
      <c r="H61" s="2" t="s">
        <v>247</v>
      </c>
      <c r="I61" s="2" t="s">
        <v>2</v>
      </c>
      <c r="K61" s="2" t="s">
        <v>248</v>
      </c>
    </row>
    <row r="62" spans="2:11" ht="210">
      <c r="B62" s="2" t="s">
        <v>39</v>
      </c>
      <c r="C62" s="3" t="s">
        <v>249</v>
      </c>
      <c r="D62" s="2" t="s">
        <v>243</v>
      </c>
      <c r="F62" s="2" t="s">
        <v>29</v>
      </c>
      <c r="G62" s="2" t="s">
        <v>135</v>
      </c>
      <c r="H62" s="2" t="s">
        <v>247</v>
      </c>
      <c r="I62" s="2" t="s">
        <v>2</v>
      </c>
      <c r="K62" s="2" t="s">
        <v>248</v>
      </c>
    </row>
    <row r="63" spans="2:11" ht="124">
      <c r="B63" s="2" t="s">
        <v>39</v>
      </c>
      <c r="C63" s="3" t="s">
        <v>250</v>
      </c>
      <c r="D63" s="2" t="s">
        <v>251</v>
      </c>
      <c r="F63" s="2" t="s">
        <v>29</v>
      </c>
      <c r="G63" s="2" t="s">
        <v>135</v>
      </c>
      <c r="H63" s="2" t="s">
        <v>252</v>
      </c>
      <c r="I63" s="2" t="s">
        <v>2</v>
      </c>
      <c r="K63" s="2" t="s">
        <v>253</v>
      </c>
    </row>
    <row r="64" spans="2:11" ht="31">
      <c r="B64" s="2" t="s">
        <v>39</v>
      </c>
      <c r="C64" s="3" t="s">
        <v>254</v>
      </c>
      <c r="I64" s="2" t="s">
        <v>25</v>
      </c>
    </row>
    <row r="65" spans="2:9">
      <c r="B65" s="2" t="s">
        <v>41</v>
      </c>
      <c r="C65" s="3" t="s">
        <v>255</v>
      </c>
      <c r="D65" s="2" t="s">
        <v>71</v>
      </c>
      <c r="F65" s="2" t="s">
        <v>35</v>
      </c>
      <c r="G65" s="2" t="s">
        <v>135</v>
      </c>
      <c r="I65" s="2" t="s">
        <v>2</v>
      </c>
    </row>
    <row r="66" spans="2:9">
      <c r="B66" s="2" t="s">
        <v>41</v>
      </c>
      <c r="C66" s="3" t="s">
        <v>255</v>
      </c>
      <c r="D66" s="2" t="s">
        <v>71</v>
      </c>
      <c r="F66" s="2" t="s">
        <v>35</v>
      </c>
      <c r="G66" s="2" t="s">
        <v>135</v>
      </c>
      <c r="I66" s="2" t="s">
        <v>25</v>
      </c>
    </row>
    <row r="67" spans="2:9" ht="122.5">
      <c r="B67" s="2" t="s">
        <v>44</v>
      </c>
      <c r="C67" s="3" t="s">
        <v>256</v>
      </c>
      <c r="D67" s="2" t="s">
        <v>192</v>
      </c>
      <c r="F67" s="2" t="s">
        <v>29</v>
      </c>
      <c r="G67" s="2" t="s">
        <v>135</v>
      </c>
      <c r="H67" s="2" t="s">
        <v>257</v>
      </c>
      <c r="I67" s="2" t="s">
        <v>25</v>
      </c>
    </row>
    <row r="68" spans="2:9" ht="108.5">
      <c r="B68" s="2" t="s">
        <v>44</v>
      </c>
      <c r="C68" s="3" t="s">
        <v>258</v>
      </c>
      <c r="D68" s="2" t="s">
        <v>259</v>
      </c>
      <c r="F68" s="2" t="s">
        <v>29</v>
      </c>
      <c r="G68" s="2" t="s">
        <v>135</v>
      </c>
      <c r="H68" s="2" t="s">
        <v>260</v>
      </c>
      <c r="I68" s="2" t="s">
        <v>2</v>
      </c>
    </row>
    <row r="69" spans="2:9">
      <c r="B69" s="2" t="s">
        <v>44</v>
      </c>
      <c r="C69" s="3" t="s">
        <v>261</v>
      </c>
      <c r="D69" s="2" t="s">
        <v>71</v>
      </c>
      <c r="F69" s="2" t="s">
        <v>42</v>
      </c>
      <c r="G69" s="2" t="s">
        <v>135</v>
      </c>
      <c r="I69" s="2" t="s">
        <v>25</v>
      </c>
    </row>
    <row r="70" spans="2:9" ht="62">
      <c r="B70" s="2" t="s">
        <v>46</v>
      </c>
      <c r="C70" s="3" t="s">
        <v>130</v>
      </c>
      <c r="D70" s="2" t="s">
        <v>71</v>
      </c>
      <c r="F70" s="2" t="s">
        <v>10</v>
      </c>
      <c r="G70" s="2" t="s">
        <v>135</v>
      </c>
      <c r="H70" s="2" t="s">
        <v>262</v>
      </c>
      <c r="I70" s="2" t="s">
        <v>25</v>
      </c>
    </row>
    <row r="71" spans="2:9" ht="62">
      <c r="B71" s="2" t="s">
        <v>46</v>
      </c>
      <c r="C71" s="3" t="s">
        <v>263</v>
      </c>
      <c r="D71" s="2" t="s">
        <v>71</v>
      </c>
      <c r="F71" s="2" t="s">
        <v>10</v>
      </c>
      <c r="G71" s="2" t="s">
        <v>135</v>
      </c>
      <c r="H71" s="2" t="s">
        <v>262</v>
      </c>
      <c r="I71" s="2" t="s">
        <v>25</v>
      </c>
    </row>
    <row r="72" spans="2:9" ht="62">
      <c r="B72" s="2" t="s">
        <v>46</v>
      </c>
      <c r="C72" s="3" t="s">
        <v>264</v>
      </c>
      <c r="D72" s="2" t="s">
        <v>71</v>
      </c>
      <c r="F72" s="2" t="s">
        <v>10</v>
      </c>
      <c r="G72" s="2" t="s">
        <v>135</v>
      </c>
      <c r="H72" s="2" t="s">
        <v>262</v>
      </c>
      <c r="I72" s="2" t="s">
        <v>25</v>
      </c>
    </row>
    <row r="73" spans="2:9" ht="62">
      <c r="B73" s="2" t="s">
        <v>46</v>
      </c>
      <c r="C73" s="3" t="s">
        <v>265</v>
      </c>
      <c r="D73" s="2" t="s">
        <v>71</v>
      </c>
      <c r="F73" s="2" t="s">
        <v>10</v>
      </c>
      <c r="G73" s="2" t="s">
        <v>135</v>
      </c>
      <c r="H73" s="2" t="s">
        <v>262</v>
      </c>
      <c r="I73" s="2" t="s">
        <v>25</v>
      </c>
    </row>
    <row r="74" spans="2:9" ht="155">
      <c r="B74" s="2" t="s">
        <v>46</v>
      </c>
      <c r="C74" s="3" t="s">
        <v>266</v>
      </c>
      <c r="D74" s="2" t="s">
        <v>71</v>
      </c>
      <c r="F74" s="2" t="s">
        <v>10</v>
      </c>
      <c r="G74" s="2" t="s">
        <v>135</v>
      </c>
      <c r="H74" s="2" t="s">
        <v>267</v>
      </c>
    </row>
    <row r="75" spans="2:9" ht="310">
      <c r="B75" s="2" t="s">
        <v>46</v>
      </c>
      <c r="C75" s="3" t="s">
        <v>268</v>
      </c>
      <c r="D75" s="2" t="s">
        <v>71</v>
      </c>
      <c r="F75" s="2" t="s">
        <v>10</v>
      </c>
      <c r="G75" s="2" t="s">
        <v>135</v>
      </c>
      <c r="H75" s="2" t="s">
        <v>269</v>
      </c>
    </row>
    <row r="76" spans="2:9" ht="139.5">
      <c r="B76" s="2" t="s">
        <v>46</v>
      </c>
      <c r="C76" s="3" t="s">
        <v>270</v>
      </c>
      <c r="D76" s="2" t="s">
        <v>71</v>
      </c>
      <c r="F76" s="2" t="s">
        <v>10</v>
      </c>
      <c r="G76" s="2" t="s">
        <v>135</v>
      </c>
      <c r="H76" s="2" t="s">
        <v>271</v>
      </c>
    </row>
    <row r="77" spans="2:9" ht="155">
      <c r="B77" s="2" t="s">
        <v>46</v>
      </c>
      <c r="C77" s="3" t="s">
        <v>272</v>
      </c>
      <c r="D77" s="2" t="s">
        <v>71</v>
      </c>
      <c r="F77" s="2" t="s">
        <v>10</v>
      </c>
      <c r="G77" s="2" t="s">
        <v>135</v>
      </c>
      <c r="H77" s="2" t="s">
        <v>273</v>
      </c>
    </row>
    <row r="78" spans="2:9" ht="93">
      <c r="B78" s="2" t="s">
        <v>46</v>
      </c>
      <c r="C78" s="3" t="s">
        <v>274</v>
      </c>
      <c r="D78" s="2" t="s">
        <v>71</v>
      </c>
      <c r="F78" s="2" t="s">
        <v>10</v>
      </c>
      <c r="G78" s="2" t="s">
        <v>135</v>
      </c>
      <c r="H78" s="2" t="s">
        <v>275</v>
      </c>
    </row>
    <row r="79" spans="2:9" ht="310">
      <c r="B79" s="2" t="s">
        <v>46</v>
      </c>
      <c r="C79" s="3" t="s">
        <v>276</v>
      </c>
      <c r="D79" s="2" t="s">
        <v>71</v>
      </c>
      <c r="F79" s="2" t="s">
        <v>10</v>
      </c>
      <c r="G79" s="2" t="s">
        <v>135</v>
      </c>
      <c r="H79" s="2" t="s">
        <v>277</v>
      </c>
    </row>
    <row r="80" spans="2:9" ht="108.5">
      <c r="B80" s="2" t="s">
        <v>46</v>
      </c>
      <c r="C80" s="3" t="s">
        <v>278</v>
      </c>
      <c r="D80" s="2" t="s">
        <v>71</v>
      </c>
      <c r="F80" s="2" t="s">
        <v>10</v>
      </c>
      <c r="G80" s="2" t="s">
        <v>135</v>
      </c>
      <c r="H80" s="2" t="s">
        <v>279</v>
      </c>
    </row>
  </sheetData>
  <autoFilter ref="A1:H69" xr:uid="{7F22704E-A89E-47AB-8E03-0D91E6B50113}"/>
  <phoneticPr fontId="4" type="noConversion"/>
  <hyperlinks>
    <hyperlink ref="H60" r:id="rId1" display="mailto:snfa.entranceimages@uohyd.ac.in" xr:uid="{F53D4887-7C8A-457E-B637-19690707013D}"/>
    <hyperlink ref="H61" r:id="rId2" display="mailto:snfa.entranceimages@uohyd.ac.in" xr:uid="{ADD840D6-DF33-420A-8ADC-D72714AFD1A9}"/>
    <hyperlink ref="H62" r:id="rId3" display="mailto:snfa.entranceimages@uohyd.ac.in" xr:uid="{96236C2D-F751-4269-A7F5-0AF28F52135E}"/>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6E7A829-219E-4287-A171-2B61E08F942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Model 1</vt:lpstr>
      <vt:lpstr>Model 2</vt:lpstr>
      <vt:lpstr>Model 3</vt:lpstr>
      <vt:lpstr>References</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Syed  Afroz</dc:creator>
  <cp:keywords/>
  <dc:description/>
  <cp:lastModifiedBy>Syed  Afroz</cp:lastModifiedBy>
  <cp:revision/>
  <dcterms:created xsi:type="dcterms:W3CDTF">2024-03-09T17:29:07Z</dcterms:created>
  <dcterms:modified xsi:type="dcterms:W3CDTF">2024-04-17T18:58:11Z</dcterms:modified>
  <cp:category/>
  <cp:contentStatus/>
</cp:coreProperties>
</file>